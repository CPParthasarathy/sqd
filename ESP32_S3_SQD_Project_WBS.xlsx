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f91d42a59b2d5e5/SQD/"/>
    </mc:Choice>
  </mc:AlternateContent>
  <xr:revisionPtr revIDLastSave="33" documentId="13_ncr:1_{C84441A9-493A-415C-B430-AB0EFCA297E0}" xr6:coauthVersionLast="47" xr6:coauthVersionMax="47" xr10:uidLastSave="{7038D520-20FD-4BCA-A22B-CE50EC350255}"/>
  <bookViews>
    <workbookView xWindow="14085" yWindow="-16200" windowWidth="29010" windowHeight="15585" activeTab="2" xr2:uid="{00000000-000D-0000-FFFF-FFFF00000000}"/>
  </bookViews>
  <sheets>
    <sheet name="Dashboard" sheetId="1" r:id="rId1"/>
    <sheet name="Control" sheetId="2" r:id="rId2"/>
    <sheet name="WBS" sheetId="3" r:id="rId3"/>
    <sheet name="Phase Summary" sheetId="4" r:id="rId4"/>
    <sheet name="Weekly Plan" sheetId="5" r:id="rId5"/>
    <sheet name="Source &amp; Guid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3" l="1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U137" i="3"/>
  <c r="R137" i="3"/>
  <c r="T137" i="3" s="1"/>
  <c r="P137" i="3"/>
  <c r="U136" i="3"/>
  <c r="K43" i="4" s="1"/>
  <c r="R136" i="3"/>
  <c r="T136" i="3" s="1"/>
  <c r="H43" i="4" s="1"/>
  <c r="P136" i="3"/>
  <c r="S136" i="3" s="1"/>
  <c r="U135" i="3"/>
  <c r="R135" i="3"/>
  <c r="S135" i="3" s="1"/>
  <c r="P135" i="3"/>
  <c r="U134" i="3"/>
  <c r="K42" i="4" s="1"/>
  <c r="R134" i="3"/>
  <c r="T134" i="3" s="1"/>
  <c r="P134" i="3"/>
  <c r="S134" i="3" s="1"/>
  <c r="G42" i="4" s="1"/>
  <c r="U133" i="3"/>
  <c r="R133" i="3"/>
  <c r="T133" i="3" s="1"/>
  <c r="P133" i="3"/>
  <c r="U132" i="3"/>
  <c r="K41" i="4" s="1"/>
  <c r="R132" i="3"/>
  <c r="T132" i="3" s="1"/>
  <c r="H41" i="4" s="1"/>
  <c r="P132" i="3"/>
  <c r="U131" i="3"/>
  <c r="T131" i="3"/>
  <c r="R131" i="3"/>
  <c r="P131" i="3"/>
  <c r="S131" i="3" s="1"/>
  <c r="U130" i="3"/>
  <c r="R130" i="3"/>
  <c r="T130" i="3" s="1"/>
  <c r="P130" i="3"/>
  <c r="S130" i="3" s="1"/>
  <c r="U129" i="3"/>
  <c r="K40" i="4" s="1"/>
  <c r="R129" i="3"/>
  <c r="T129" i="3" s="1"/>
  <c r="H40" i="4" s="1"/>
  <c r="P129" i="3"/>
  <c r="U128" i="3"/>
  <c r="S128" i="3"/>
  <c r="R128" i="3"/>
  <c r="T128" i="3" s="1"/>
  <c r="P128" i="3"/>
  <c r="U127" i="3"/>
  <c r="T127" i="3"/>
  <c r="R127" i="3"/>
  <c r="P127" i="3"/>
  <c r="U126" i="3"/>
  <c r="K39" i="4" s="1"/>
  <c r="R126" i="3"/>
  <c r="T126" i="3" s="1"/>
  <c r="P126" i="3"/>
  <c r="U125" i="3"/>
  <c r="R125" i="3"/>
  <c r="S125" i="3" s="1"/>
  <c r="P125" i="3"/>
  <c r="U124" i="3"/>
  <c r="K38" i="4" s="1"/>
  <c r="R124" i="3"/>
  <c r="T124" i="3" s="1"/>
  <c r="P124" i="3"/>
  <c r="U123" i="3"/>
  <c r="R123" i="3"/>
  <c r="T123" i="3" s="1"/>
  <c r="P123" i="3"/>
  <c r="U122" i="3"/>
  <c r="R122" i="3"/>
  <c r="T122" i="3" s="1"/>
  <c r="P122" i="3"/>
  <c r="S122" i="3" s="1"/>
  <c r="U121" i="3"/>
  <c r="R121" i="3"/>
  <c r="T121" i="3" s="1"/>
  <c r="P121" i="3"/>
  <c r="U120" i="3"/>
  <c r="K37" i="4" s="1"/>
  <c r="R120" i="3"/>
  <c r="T120" i="3" s="1"/>
  <c r="P120" i="3"/>
  <c r="U119" i="3"/>
  <c r="R119" i="3"/>
  <c r="T119" i="3" s="1"/>
  <c r="P119" i="3"/>
  <c r="S119" i="3" s="1"/>
  <c r="U118" i="3"/>
  <c r="K36" i="4" s="1"/>
  <c r="R118" i="3"/>
  <c r="T118" i="3" s="1"/>
  <c r="P118" i="3"/>
  <c r="S118" i="3" s="1"/>
  <c r="U117" i="3"/>
  <c r="R117" i="3"/>
  <c r="S117" i="3" s="1"/>
  <c r="P117" i="3"/>
  <c r="U116" i="3"/>
  <c r="T116" i="3"/>
  <c r="R116" i="3"/>
  <c r="S116" i="3" s="1"/>
  <c r="P116" i="3"/>
  <c r="U115" i="3"/>
  <c r="K35" i="4" s="1"/>
  <c r="R115" i="3"/>
  <c r="T115" i="3" s="1"/>
  <c r="P115" i="3"/>
  <c r="S115" i="3" s="1"/>
  <c r="U114" i="3"/>
  <c r="R114" i="3"/>
  <c r="T114" i="3" s="1"/>
  <c r="P114" i="3"/>
  <c r="S114" i="3" s="1"/>
  <c r="U113" i="3"/>
  <c r="R113" i="3"/>
  <c r="T113" i="3" s="1"/>
  <c r="P113" i="3"/>
  <c r="U112" i="3"/>
  <c r="K34" i="4" s="1"/>
  <c r="T112" i="3"/>
  <c r="H34" i="4" s="1"/>
  <c r="S112" i="3"/>
  <c r="R112" i="3"/>
  <c r="P112" i="3"/>
  <c r="U111" i="3"/>
  <c r="T111" i="3"/>
  <c r="R111" i="3"/>
  <c r="P111" i="3"/>
  <c r="S111" i="3" s="1"/>
  <c r="U110" i="3"/>
  <c r="R110" i="3"/>
  <c r="T110" i="3" s="1"/>
  <c r="P110" i="3"/>
  <c r="U109" i="3"/>
  <c r="K33" i="4" s="1"/>
  <c r="R109" i="3"/>
  <c r="T109" i="3" s="1"/>
  <c r="P109" i="3"/>
  <c r="U108" i="3"/>
  <c r="T108" i="3"/>
  <c r="S108" i="3"/>
  <c r="R108" i="3"/>
  <c r="P108" i="3"/>
  <c r="U107" i="3"/>
  <c r="K32" i="4" s="1"/>
  <c r="T107" i="3"/>
  <c r="R107" i="3"/>
  <c r="P107" i="3"/>
  <c r="S107" i="3" s="1"/>
  <c r="U106" i="3"/>
  <c r="R106" i="3"/>
  <c r="T106" i="3" s="1"/>
  <c r="P106" i="3"/>
  <c r="U105" i="3"/>
  <c r="R105" i="3"/>
  <c r="T105" i="3" s="1"/>
  <c r="P105" i="3"/>
  <c r="U104" i="3"/>
  <c r="K31" i="4" s="1"/>
  <c r="R104" i="3"/>
  <c r="T104" i="3" s="1"/>
  <c r="P104" i="3"/>
  <c r="U103" i="3"/>
  <c r="R103" i="3"/>
  <c r="T103" i="3" s="1"/>
  <c r="P103" i="3"/>
  <c r="U102" i="3"/>
  <c r="R102" i="3"/>
  <c r="T102" i="3" s="1"/>
  <c r="P102" i="3"/>
  <c r="S102" i="3" s="1"/>
  <c r="U101" i="3"/>
  <c r="K30" i="4" s="1"/>
  <c r="R101" i="3"/>
  <c r="T101" i="3" s="1"/>
  <c r="P101" i="3"/>
  <c r="U100" i="3"/>
  <c r="R100" i="3"/>
  <c r="S100" i="3" s="1"/>
  <c r="P100" i="3"/>
  <c r="U99" i="3"/>
  <c r="R99" i="3"/>
  <c r="T99" i="3" s="1"/>
  <c r="P99" i="3"/>
  <c r="U98" i="3"/>
  <c r="K29" i="4" s="1"/>
  <c r="R98" i="3"/>
  <c r="T98" i="3" s="1"/>
  <c r="P98" i="3"/>
  <c r="S98" i="3" s="1"/>
  <c r="U97" i="3"/>
  <c r="R97" i="3"/>
  <c r="T97" i="3" s="1"/>
  <c r="P97" i="3"/>
  <c r="U96" i="3"/>
  <c r="R96" i="3"/>
  <c r="T96" i="3" s="1"/>
  <c r="P96" i="3"/>
  <c r="U95" i="3"/>
  <c r="K28" i="4" s="1"/>
  <c r="R95" i="3"/>
  <c r="T95" i="3" s="1"/>
  <c r="H28" i="4" s="1"/>
  <c r="P95" i="3"/>
  <c r="S95" i="3" s="1"/>
  <c r="U94" i="3"/>
  <c r="R94" i="3"/>
  <c r="T94" i="3" s="1"/>
  <c r="P94" i="3"/>
  <c r="S94" i="3" s="1"/>
  <c r="U93" i="3"/>
  <c r="R93" i="3"/>
  <c r="T93" i="3" s="1"/>
  <c r="P93" i="3"/>
  <c r="U92" i="3"/>
  <c r="K27" i="4" s="1"/>
  <c r="R92" i="3"/>
  <c r="T92" i="3" s="1"/>
  <c r="P92" i="3"/>
  <c r="U91" i="3"/>
  <c r="R91" i="3"/>
  <c r="T91" i="3" s="1"/>
  <c r="P91" i="3"/>
  <c r="S91" i="3" s="1"/>
  <c r="U90" i="3"/>
  <c r="R90" i="3"/>
  <c r="T90" i="3" s="1"/>
  <c r="P90" i="3"/>
  <c r="S90" i="3" s="1"/>
  <c r="U89" i="3"/>
  <c r="R89" i="3"/>
  <c r="T89" i="3" s="1"/>
  <c r="P89" i="3"/>
  <c r="U88" i="3"/>
  <c r="T88" i="3"/>
  <c r="R88" i="3"/>
  <c r="S88" i="3" s="1"/>
  <c r="P88" i="3"/>
  <c r="U87" i="3"/>
  <c r="T87" i="3"/>
  <c r="R87" i="3"/>
  <c r="P87" i="3"/>
  <c r="S87" i="3" s="1"/>
  <c r="U86" i="3"/>
  <c r="K26" i="4" s="1"/>
  <c r="R86" i="3"/>
  <c r="T86" i="3" s="1"/>
  <c r="P86" i="3"/>
  <c r="U85" i="3"/>
  <c r="R85" i="3"/>
  <c r="T85" i="3" s="1"/>
  <c r="P85" i="3"/>
  <c r="U84" i="3"/>
  <c r="T84" i="3"/>
  <c r="S84" i="3"/>
  <c r="R84" i="3"/>
  <c r="P84" i="3"/>
  <c r="U83" i="3"/>
  <c r="T83" i="3"/>
  <c r="R83" i="3"/>
  <c r="P83" i="3"/>
  <c r="S83" i="3" s="1"/>
  <c r="U82" i="3"/>
  <c r="K25" i="4" s="1"/>
  <c r="R82" i="3"/>
  <c r="T82" i="3" s="1"/>
  <c r="P82" i="3"/>
  <c r="U81" i="3"/>
  <c r="R81" i="3"/>
  <c r="T81" i="3" s="1"/>
  <c r="P81" i="3"/>
  <c r="U80" i="3"/>
  <c r="R80" i="3"/>
  <c r="T80" i="3" s="1"/>
  <c r="P80" i="3"/>
  <c r="U79" i="3"/>
  <c r="R79" i="3"/>
  <c r="T79" i="3" s="1"/>
  <c r="P79" i="3"/>
  <c r="U78" i="3"/>
  <c r="K24" i="4" s="1"/>
  <c r="R78" i="3"/>
  <c r="T78" i="3" s="1"/>
  <c r="P78" i="3"/>
  <c r="S78" i="3" s="1"/>
  <c r="U77" i="3"/>
  <c r="R77" i="3"/>
  <c r="T77" i="3" s="1"/>
  <c r="P77" i="3"/>
  <c r="U76" i="3"/>
  <c r="R76" i="3"/>
  <c r="T76" i="3" s="1"/>
  <c r="P76" i="3"/>
  <c r="U75" i="3"/>
  <c r="R75" i="3"/>
  <c r="T75" i="3" s="1"/>
  <c r="P75" i="3"/>
  <c r="U74" i="3"/>
  <c r="K23" i="4" s="1"/>
  <c r="R74" i="3"/>
  <c r="T74" i="3" s="1"/>
  <c r="P74" i="3"/>
  <c r="S74" i="3" s="1"/>
  <c r="U73" i="3"/>
  <c r="R73" i="3"/>
  <c r="T73" i="3" s="1"/>
  <c r="P73" i="3"/>
  <c r="U72" i="3"/>
  <c r="R72" i="3"/>
  <c r="S72" i="3" s="1"/>
  <c r="P72" i="3"/>
  <c r="U71" i="3"/>
  <c r="R71" i="3"/>
  <c r="T71" i="3" s="1"/>
  <c r="P71" i="3"/>
  <c r="S71" i="3" s="1"/>
  <c r="U70" i="3"/>
  <c r="K22" i="4" s="1"/>
  <c r="R70" i="3"/>
  <c r="T70" i="3" s="1"/>
  <c r="P70" i="3"/>
  <c r="S70" i="3" s="1"/>
  <c r="U69" i="3"/>
  <c r="S69" i="3"/>
  <c r="R69" i="3"/>
  <c r="T69" i="3" s="1"/>
  <c r="P69" i="3"/>
  <c r="U68" i="3"/>
  <c r="T68" i="3"/>
  <c r="R68" i="3"/>
  <c r="S68" i="3" s="1"/>
  <c r="P68" i="3"/>
  <c r="U67" i="3"/>
  <c r="R67" i="3"/>
  <c r="T67" i="3" s="1"/>
  <c r="P67" i="3"/>
  <c r="S67" i="3" s="1"/>
  <c r="U66" i="3"/>
  <c r="K21" i="4" s="1"/>
  <c r="R66" i="3"/>
  <c r="T66" i="3" s="1"/>
  <c r="P66" i="3"/>
  <c r="S66" i="3" s="1"/>
  <c r="U65" i="3"/>
  <c r="R65" i="3"/>
  <c r="T65" i="3" s="1"/>
  <c r="P65" i="3"/>
  <c r="U64" i="3"/>
  <c r="R64" i="3"/>
  <c r="S64" i="3" s="1"/>
  <c r="P64" i="3"/>
  <c r="U63" i="3"/>
  <c r="R63" i="3"/>
  <c r="T63" i="3" s="1"/>
  <c r="P63" i="3"/>
  <c r="U62" i="3"/>
  <c r="K20" i="4" s="1"/>
  <c r="R62" i="3"/>
  <c r="T62" i="3" s="1"/>
  <c r="P62" i="3"/>
  <c r="S62" i="3" s="1"/>
  <c r="U61" i="3"/>
  <c r="R61" i="3"/>
  <c r="T61" i="3" s="1"/>
  <c r="P61" i="3"/>
  <c r="U60" i="3"/>
  <c r="R60" i="3"/>
  <c r="T60" i="3" s="1"/>
  <c r="P60" i="3"/>
  <c r="U59" i="3"/>
  <c r="K19" i="4" s="1"/>
  <c r="R59" i="3"/>
  <c r="T59" i="3" s="1"/>
  <c r="H19" i="4" s="1"/>
  <c r="P59" i="3"/>
  <c r="U58" i="3"/>
  <c r="R58" i="3"/>
  <c r="T58" i="3" s="1"/>
  <c r="P58" i="3"/>
  <c r="S58" i="3" s="1"/>
  <c r="U57" i="3"/>
  <c r="R57" i="3"/>
  <c r="T57" i="3" s="1"/>
  <c r="P57" i="3"/>
  <c r="U56" i="3"/>
  <c r="R56" i="3"/>
  <c r="T56" i="3" s="1"/>
  <c r="P56" i="3"/>
  <c r="U55" i="3"/>
  <c r="R55" i="3"/>
  <c r="T55" i="3" s="1"/>
  <c r="P55" i="3"/>
  <c r="S55" i="3" s="1"/>
  <c r="U54" i="3"/>
  <c r="R54" i="3"/>
  <c r="T54" i="3" s="1"/>
  <c r="P54" i="3"/>
  <c r="S54" i="3" s="1"/>
  <c r="U53" i="3"/>
  <c r="K18" i="4" s="1"/>
  <c r="R53" i="3"/>
  <c r="T53" i="3" s="1"/>
  <c r="P53" i="3"/>
  <c r="U52" i="3"/>
  <c r="R52" i="3"/>
  <c r="T52" i="3" s="1"/>
  <c r="P52" i="3"/>
  <c r="U51" i="3"/>
  <c r="R51" i="3"/>
  <c r="T51" i="3" s="1"/>
  <c r="P51" i="3"/>
  <c r="S51" i="3" s="1"/>
  <c r="U50" i="3"/>
  <c r="R50" i="3"/>
  <c r="T50" i="3" s="1"/>
  <c r="P50" i="3"/>
  <c r="S50" i="3" s="1"/>
  <c r="U49" i="3"/>
  <c r="K17" i="4" s="1"/>
  <c r="R49" i="3"/>
  <c r="T49" i="3" s="1"/>
  <c r="P49" i="3"/>
  <c r="U48" i="3"/>
  <c r="R48" i="3"/>
  <c r="S48" i="3" s="1"/>
  <c r="P48" i="3"/>
  <c r="U47" i="3"/>
  <c r="R47" i="3"/>
  <c r="T47" i="3" s="1"/>
  <c r="P47" i="3"/>
  <c r="U46" i="3"/>
  <c r="R46" i="3"/>
  <c r="T46" i="3" s="1"/>
  <c r="P46" i="3"/>
  <c r="S46" i="3" s="1"/>
  <c r="U45" i="3"/>
  <c r="K16" i="4" s="1"/>
  <c r="R45" i="3"/>
  <c r="T45" i="3" s="1"/>
  <c r="P45" i="3"/>
  <c r="U44" i="3"/>
  <c r="R44" i="3"/>
  <c r="T44" i="3" s="1"/>
  <c r="P44" i="3"/>
  <c r="U43" i="3"/>
  <c r="R43" i="3"/>
  <c r="T43" i="3" s="1"/>
  <c r="P43" i="3"/>
  <c r="S43" i="3" s="1"/>
  <c r="U42" i="3"/>
  <c r="R42" i="3"/>
  <c r="T42" i="3" s="1"/>
  <c r="P42" i="3"/>
  <c r="S42" i="3" s="1"/>
  <c r="U41" i="3"/>
  <c r="K15" i="4" s="1"/>
  <c r="R41" i="3"/>
  <c r="T41" i="3" s="1"/>
  <c r="P41" i="3"/>
  <c r="S41" i="3" s="1"/>
  <c r="U40" i="3"/>
  <c r="T40" i="3"/>
  <c r="R40" i="3"/>
  <c r="S40" i="3" s="1"/>
  <c r="P40" i="3"/>
  <c r="U39" i="3"/>
  <c r="T39" i="3"/>
  <c r="R39" i="3"/>
  <c r="P39" i="3"/>
  <c r="S39" i="3" s="1"/>
  <c r="U38" i="3"/>
  <c r="T38" i="3"/>
  <c r="R38" i="3"/>
  <c r="P38" i="3"/>
  <c r="S38" i="3" s="1"/>
  <c r="U37" i="3"/>
  <c r="K14" i="4" s="1"/>
  <c r="S37" i="3"/>
  <c r="G14" i="4" s="1"/>
  <c r="R37" i="3"/>
  <c r="T37" i="3" s="1"/>
  <c r="P37" i="3"/>
  <c r="U36" i="3"/>
  <c r="S36" i="3"/>
  <c r="R36" i="3"/>
  <c r="T36" i="3" s="1"/>
  <c r="P36" i="3"/>
  <c r="U35" i="3"/>
  <c r="T35" i="3"/>
  <c r="R35" i="3"/>
  <c r="S35" i="3" s="1"/>
  <c r="P35" i="3"/>
  <c r="U34" i="3"/>
  <c r="R34" i="3"/>
  <c r="T34" i="3" s="1"/>
  <c r="P34" i="3"/>
  <c r="S34" i="3" s="1"/>
  <c r="U33" i="3"/>
  <c r="K13" i="4" s="1"/>
  <c r="R33" i="3"/>
  <c r="T33" i="3" s="1"/>
  <c r="H13" i="4" s="1"/>
  <c r="P33" i="3"/>
  <c r="U32" i="3"/>
  <c r="T32" i="3"/>
  <c r="S32" i="3"/>
  <c r="R32" i="3"/>
  <c r="P32" i="3"/>
  <c r="U31" i="3"/>
  <c r="T31" i="3"/>
  <c r="R31" i="3"/>
  <c r="P31" i="3"/>
  <c r="S31" i="3" s="1"/>
  <c r="U30" i="3"/>
  <c r="K12" i="4" s="1"/>
  <c r="T30" i="3"/>
  <c r="H12" i="4" s="1"/>
  <c r="R30" i="3"/>
  <c r="P30" i="3"/>
  <c r="S30" i="3" s="1"/>
  <c r="U29" i="3"/>
  <c r="S29" i="3"/>
  <c r="R29" i="3"/>
  <c r="T29" i="3" s="1"/>
  <c r="P29" i="3"/>
  <c r="U28" i="3"/>
  <c r="R28" i="3"/>
  <c r="T28" i="3" s="1"/>
  <c r="P28" i="3"/>
  <c r="U27" i="3"/>
  <c r="K11" i="4" s="1"/>
  <c r="T27" i="3"/>
  <c r="S27" i="3"/>
  <c r="R27" i="3"/>
  <c r="P27" i="3"/>
  <c r="U26" i="3"/>
  <c r="R26" i="3"/>
  <c r="T26" i="3" s="1"/>
  <c r="P26" i="3"/>
  <c r="U25" i="3"/>
  <c r="R25" i="3"/>
  <c r="T25" i="3" s="1"/>
  <c r="P25" i="3"/>
  <c r="S25" i="3" s="1"/>
  <c r="U24" i="3"/>
  <c r="K10" i="4" s="1"/>
  <c r="R24" i="3"/>
  <c r="S24" i="3" s="1"/>
  <c r="P24" i="3"/>
  <c r="U23" i="3"/>
  <c r="R23" i="3"/>
  <c r="T23" i="3" s="1"/>
  <c r="P23" i="3"/>
  <c r="S23" i="3" s="1"/>
  <c r="U22" i="3"/>
  <c r="R22" i="3"/>
  <c r="T22" i="3" s="1"/>
  <c r="P22" i="3"/>
  <c r="S22" i="3" s="1"/>
  <c r="U21" i="3"/>
  <c r="K9" i="4" s="1"/>
  <c r="R21" i="3"/>
  <c r="S21" i="3" s="1"/>
  <c r="P21" i="3"/>
  <c r="U20" i="3"/>
  <c r="R20" i="3"/>
  <c r="T20" i="3" s="1"/>
  <c r="P20" i="3"/>
  <c r="U19" i="3"/>
  <c r="R19" i="3"/>
  <c r="T19" i="3" s="1"/>
  <c r="P19" i="3"/>
  <c r="U18" i="3"/>
  <c r="K8" i="4" s="1"/>
  <c r="R18" i="3"/>
  <c r="T18" i="3" s="1"/>
  <c r="P18" i="3"/>
  <c r="S18" i="3" s="1"/>
  <c r="U17" i="3"/>
  <c r="R17" i="3"/>
  <c r="T17" i="3" s="1"/>
  <c r="P17" i="3"/>
  <c r="S17" i="3" s="1"/>
  <c r="U16" i="3"/>
  <c r="K7" i="4" s="1"/>
  <c r="T16" i="3"/>
  <c r="R16" i="3"/>
  <c r="S16" i="3" s="1"/>
  <c r="P16" i="3"/>
  <c r="R15" i="3"/>
  <c r="T15" i="3" s="1"/>
  <c r="P15" i="3"/>
  <c r="S15" i="3" s="1"/>
  <c r="U14" i="3"/>
  <c r="R14" i="3"/>
  <c r="T14" i="3" s="1"/>
  <c r="P14" i="3"/>
  <c r="S14" i="3" s="1"/>
  <c r="U13" i="3"/>
  <c r="S13" i="3"/>
  <c r="R13" i="3"/>
  <c r="T13" i="3" s="1"/>
  <c r="P13" i="3"/>
  <c r="U12" i="3"/>
  <c r="S12" i="3"/>
  <c r="R12" i="3"/>
  <c r="T12" i="3" s="1"/>
  <c r="P12" i="3"/>
  <c r="U11" i="3"/>
  <c r="T11" i="3"/>
  <c r="R11" i="3"/>
  <c r="S11" i="3" s="1"/>
  <c r="P11" i="3"/>
  <c r="U10" i="3"/>
  <c r="R10" i="3"/>
  <c r="T10" i="3" s="1"/>
  <c r="P10" i="3"/>
  <c r="S10" i="3" s="1"/>
  <c r="U9" i="3"/>
  <c r="R9" i="3"/>
  <c r="T9" i="3" s="1"/>
  <c r="P9" i="3"/>
  <c r="U8" i="3"/>
  <c r="R8" i="3"/>
  <c r="T8" i="3" s="1"/>
  <c r="P8" i="3"/>
  <c r="U7" i="3"/>
  <c r="R7" i="3"/>
  <c r="T7" i="3" s="1"/>
  <c r="P7" i="3"/>
  <c r="U6" i="3"/>
  <c r="R6" i="3"/>
  <c r="T6" i="3" s="1"/>
  <c r="P6" i="3"/>
  <c r="U5" i="3"/>
  <c r="R5" i="3"/>
  <c r="S5" i="3" s="1"/>
  <c r="P5" i="3"/>
  <c r="B15" i="2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H13" i="1"/>
  <c r="H12" i="1"/>
  <c r="H7" i="1"/>
  <c r="H3" i="1"/>
  <c r="E3" i="1"/>
  <c r="B3" i="1"/>
  <c r="I13" i="1" l="1"/>
  <c r="J13" i="1"/>
  <c r="H7" i="4"/>
  <c r="L7" i="4" s="1"/>
  <c r="H6" i="4"/>
  <c r="K6" i="4"/>
  <c r="I12" i="1"/>
  <c r="B14" i="2"/>
  <c r="E7" i="1" s="1"/>
  <c r="G35" i="4"/>
  <c r="G29" i="4"/>
  <c r="S60" i="3"/>
  <c r="S104" i="3"/>
  <c r="H8" i="4"/>
  <c r="L8" i="4" s="1"/>
  <c r="S77" i="3"/>
  <c r="S96" i="3"/>
  <c r="T100" i="3"/>
  <c r="H29" i="4" s="1"/>
  <c r="G32" i="4"/>
  <c r="T24" i="3"/>
  <c r="S45" i="3"/>
  <c r="S56" i="3"/>
  <c r="S92" i="3"/>
  <c r="G27" i="4" s="1"/>
  <c r="S6" i="3"/>
  <c r="S20" i="3"/>
  <c r="S33" i="3"/>
  <c r="G13" i="4" s="1"/>
  <c r="I13" i="4" s="1"/>
  <c r="H14" i="4"/>
  <c r="I14" i="4" s="1"/>
  <c r="S52" i="3"/>
  <c r="S59" i="3"/>
  <c r="S63" i="3"/>
  <c r="S82" i="3"/>
  <c r="G25" i="4" s="1"/>
  <c r="S86" i="3"/>
  <c r="S99" i="3"/>
  <c r="S103" i="3"/>
  <c r="S126" i="3"/>
  <c r="S132" i="3"/>
  <c r="S137" i="3"/>
  <c r="H26" i="4"/>
  <c r="L26" i="4" s="1"/>
  <c r="H32" i="4"/>
  <c r="L32" i="4" s="1"/>
  <c r="H39" i="4"/>
  <c r="L39" i="4" s="1"/>
  <c r="T64" i="3"/>
  <c r="S85" i="3"/>
  <c r="H11" i="4"/>
  <c r="L11" i="4" s="1"/>
  <c r="H24" i="4"/>
  <c r="L24" i="4" s="1"/>
  <c r="G36" i="4"/>
  <c r="S124" i="3"/>
  <c r="G38" i="4" s="1"/>
  <c r="G6" i="4"/>
  <c r="I6" i="4" s="1"/>
  <c r="H25" i="4"/>
  <c r="L25" i="4" s="1"/>
  <c r="F15" i="1"/>
  <c r="S76" i="3"/>
  <c r="H36" i="4"/>
  <c r="S120" i="3"/>
  <c r="S127" i="3"/>
  <c r="S133" i="3"/>
  <c r="T135" i="3"/>
  <c r="H42" i="4" s="1"/>
  <c r="G43" i="4"/>
  <c r="T48" i="3"/>
  <c r="H23" i="4"/>
  <c r="L23" i="4" s="1"/>
  <c r="S80" i="3"/>
  <c r="H30" i="4"/>
  <c r="L30" i="4" s="1"/>
  <c r="S109" i="3"/>
  <c r="G33" i="4" s="1"/>
  <c r="S19" i="3"/>
  <c r="G8" i="4" s="1"/>
  <c r="S44" i="3"/>
  <c r="S61" i="3"/>
  <c r="S101" i="3"/>
  <c r="S7" i="3"/>
  <c r="S9" i="3"/>
  <c r="S26" i="3"/>
  <c r="S47" i="3"/>
  <c r="S49" i="3"/>
  <c r="S53" i="3"/>
  <c r="T72" i="3"/>
  <c r="S75" i="3"/>
  <c r="G23" i="4" s="1"/>
  <c r="S79" i="3"/>
  <c r="S93" i="3"/>
  <c r="S106" i="3"/>
  <c r="S110" i="3"/>
  <c r="S123" i="3"/>
  <c r="J12" i="1"/>
  <c r="H5" i="4"/>
  <c r="L5" i="4" s="1"/>
  <c r="B13" i="2"/>
  <c r="B7" i="1" s="1"/>
  <c r="K5" i="4"/>
  <c r="S8" i="3"/>
  <c r="G5" i="4" s="1"/>
  <c r="K4" i="4"/>
  <c r="G7" i="4"/>
  <c r="L19" i="4"/>
  <c r="G9" i="4"/>
  <c r="G12" i="4"/>
  <c r="G17" i="4"/>
  <c r="H21" i="4"/>
  <c r="H22" i="4"/>
  <c r="H37" i="4"/>
  <c r="L13" i="4"/>
  <c r="F14" i="1"/>
  <c r="L12" i="4"/>
  <c r="I12" i="4"/>
  <c r="H17" i="4"/>
  <c r="L40" i="4"/>
  <c r="G10" i="4"/>
  <c r="H16" i="4"/>
  <c r="H20" i="4"/>
  <c r="L34" i="4"/>
  <c r="L43" i="4"/>
  <c r="I43" i="4"/>
  <c r="G4" i="4"/>
  <c r="E12" i="1"/>
  <c r="H10" i="4"/>
  <c r="G15" i="4"/>
  <c r="G16" i="4"/>
  <c r="H31" i="4"/>
  <c r="L6" i="4"/>
  <c r="H15" i="4"/>
  <c r="G19" i="4"/>
  <c r="I19" i="4" s="1"/>
  <c r="H27" i="4"/>
  <c r="H33" i="4"/>
  <c r="F17" i="1"/>
  <c r="L41" i="4"/>
  <c r="H18" i="4"/>
  <c r="G21" i="4"/>
  <c r="F16" i="1"/>
  <c r="L28" i="4"/>
  <c r="G30" i="4"/>
  <c r="H38" i="4"/>
  <c r="T5" i="3"/>
  <c r="T21" i="3"/>
  <c r="H9" i="4" s="1"/>
  <c r="T117" i="3"/>
  <c r="H35" i="4" s="1"/>
  <c r="T125" i="3"/>
  <c r="F18" i="1" s="1"/>
  <c r="S28" i="3"/>
  <c r="S57" i="3"/>
  <c r="G18" i="4" s="1"/>
  <c r="S65" i="3"/>
  <c r="S73" i="3"/>
  <c r="G22" i="4" s="1"/>
  <c r="S81" i="3"/>
  <c r="G24" i="4" s="1"/>
  <c r="S89" i="3"/>
  <c r="G26" i="4" s="1"/>
  <c r="S97" i="3"/>
  <c r="G28" i="4" s="1"/>
  <c r="I28" i="4" s="1"/>
  <c r="S105" i="3"/>
  <c r="G31" i="4" s="1"/>
  <c r="S113" i="3"/>
  <c r="S121" i="3"/>
  <c r="G37" i="4" s="1"/>
  <c r="S129" i="3"/>
  <c r="G40" i="4" s="1"/>
  <c r="I40" i="4" s="1"/>
  <c r="I36" i="4" l="1"/>
  <c r="L14" i="4"/>
  <c r="L36" i="4"/>
  <c r="I7" i="4"/>
  <c r="I24" i="4"/>
  <c r="I30" i="4"/>
  <c r="I25" i="4"/>
  <c r="I26" i="4"/>
  <c r="I32" i="4"/>
  <c r="I23" i="4"/>
  <c r="L29" i="4"/>
  <c r="I29" i="4"/>
  <c r="I42" i="4"/>
  <c r="L42" i="4"/>
  <c r="I8" i="4"/>
  <c r="G41" i="4"/>
  <c r="I41" i="4" s="1"/>
  <c r="G39" i="4"/>
  <c r="I39" i="4" s="1"/>
  <c r="E17" i="1"/>
  <c r="G17" i="1" s="1"/>
  <c r="G20" i="4"/>
  <c r="I20" i="4" s="1"/>
  <c r="E13" i="1"/>
  <c r="I5" i="4"/>
  <c r="L35" i="4"/>
  <c r="I35" i="4"/>
  <c r="E16" i="1"/>
  <c r="G16" i="1" s="1"/>
  <c r="L17" i="4"/>
  <c r="I17" i="4"/>
  <c r="L21" i="4"/>
  <c r="I21" i="4"/>
  <c r="L33" i="4"/>
  <c r="I33" i="4"/>
  <c r="I10" i="4"/>
  <c r="L10" i="4"/>
  <c r="L20" i="4"/>
  <c r="H4" i="4"/>
  <c r="B11" i="2"/>
  <c r="F12" i="1"/>
  <c r="G12" i="1" s="1"/>
  <c r="L38" i="4"/>
  <c r="I38" i="4"/>
  <c r="E18" i="1"/>
  <c r="G18" i="1" s="1"/>
  <c r="L16" i="4"/>
  <c r="I16" i="4"/>
  <c r="L27" i="4"/>
  <c r="I27" i="4"/>
  <c r="F13" i="1"/>
  <c r="I18" i="4"/>
  <c r="L18" i="4"/>
  <c r="L9" i="4"/>
  <c r="I9" i="4"/>
  <c r="E14" i="1"/>
  <c r="G14" i="1" s="1"/>
  <c r="E15" i="1"/>
  <c r="G15" i="1" s="1"/>
  <c r="I31" i="4"/>
  <c r="L31" i="4"/>
  <c r="B10" i="2"/>
  <c r="B5" i="1" s="1"/>
  <c r="G34" i="4"/>
  <c r="I34" i="4" s="1"/>
  <c r="L37" i="4"/>
  <c r="I37" i="4"/>
  <c r="I15" i="4"/>
  <c r="L15" i="4"/>
  <c r="G11" i="4"/>
  <c r="I11" i="4" s="1"/>
  <c r="L22" i="4"/>
  <c r="I22" i="4"/>
  <c r="G13" i="1" l="1"/>
  <c r="I4" i="5"/>
  <c r="B12" i="2"/>
  <c r="H5" i="1" s="1"/>
  <c r="E5" i="1"/>
  <c r="L4" i="4"/>
  <c r="I4" i="4"/>
</calcChain>
</file>

<file path=xl/sharedStrings.xml><?xml version="1.0" encoding="utf-8"?>
<sst xmlns="http://schemas.openxmlformats.org/spreadsheetml/2006/main" count="1973" uniqueCount="1048">
  <si>
    <t>ESP32-S3 Solo Program Dashboard</t>
  </si>
  <si>
    <t>Project Start</t>
  </si>
  <si>
    <t>Reporting Week</t>
  </si>
  <si>
    <t>Production Release Week</t>
  </si>
  <si>
    <t>Planned Completion</t>
  </si>
  <si>
    <t>Actual Completion</t>
  </si>
  <si>
    <t>Schedule Variance</t>
  </si>
  <si>
    <t>Late Tasks</t>
  </si>
  <si>
    <t>Completed Tasks</t>
  </si>
  <si>
    <t>Total Work Packages</t>
  </si>
  <si>
    <t>Cluster</t>
  </si>
  <si>
    <t>Name</t>
  </si>
  <si>
    <t>Start</t>
  </si>
  <si>
    <t>End</t>
  </si>
  <si>
    <t>Planned %</t>
  </si>
  <si>
    <t>Actual %</t>
  </si>
  <si>
    <t>Variance</t>
  </si>
  <si>
    <t>Tasks</t>
  </si>
  <si>
    <t>Complete</t>
  </si>
  <si>
    <t>Late</t>
  </si>
  <si>
    <t>Gate</t>
  </si>
  <si>
    <t>A</t>
  </si>
  <si>
    <t>Product Definition and Planning</t>
  </si>
  <si>
    <t>G-A</t>
  </si>
  <si>
    <t>B</t>
  </si>
  <si>
    <t>Engineering Foundation</t>
  </si>
  <si>
    <t>G-B</t>
  </si>
  <si>
    <t>C</t>
  </si>
  <si>
    <t>Platform and Architecture Development</t>
  </si>
  <si>
    <t>G-C</t>
  </si>
  <si>
    <t>D</t>
  </si>
  <si>
    <t>Product Feature Development</t>
  </si>
  <si>
    <t>G-D</t>
  </si>
  <si>
    <t>E</t>
  </si>
  <si>
    <t>Verification and Qualification</t>
  </si>
  <si>
    <t>G-E</t>
  </si>
  <si>
    <t>F</t>
  </si>
  <si>
    <t>Industrialization and Production Release</t>
  </si>
  <si>
    <t>G-F</t>
  </si>
  <si>
    <t>G</t>
  </si>
  <si>
    <t>Field Operation and Lifecycle Maintenance</t>
  </si>
  <si>
    <t>G-G</t>
  </si>
  <si>
    <t>Current Gate Logic and Assumptions</t>
  </si>
  <si>
    <t>One owner means every row is assigned to “Me”. Overlapping rows are intended to be interleaved within the same week.</t>
  </si>
  <si>
    <t>Task Actual Completion starts at 0% because no execution evidence was provided. Enter evidence-based progress only.</t>
  </si>
  <si>
    <t>A cluster gate is accepted only when its gate row reaches 100% and the stated completion criteria are met.</t>
  </si>
  <si>
    <t>Week 78 is the production release baseline. Weeks 79–90 cover staged rollout, stabilization, upgrades, hardware support and closure readiness.</t>
  </si>
  <si>
    <t>ESP32-S3 Solo Project WBS — Control</t>
  </si>
  <si>
    <t>Field</t>
  </si>
  <si>
    <t>Value</t>
  </si>
  <si>
    <t>Purpose</t>
  </si>
  <si>
    <t>Editable?</t>
  </si>
  <si>
    <t>Project Name</t>
  </si>
  <si>
    <t>ESP32-S3 Production Firmware Program</t>
  </si>
  <si>
    <t>Program tracked by this workbook</t>
  </si>
  <si>
    <t>Yes</t>
  </si>
  <si>
    <t>Owner</t>
  </si>
  <si>
    <t>Me</t>
  </si>
  <si>
    <t>Single accountable owner for every work package</t>
  </si>
  <si>
    <t>Monday used to derive weekly dates</t>
  </si>
  <si>
    <t>Update this value from 1 to 90 for planned-progress/status calculations</t>
  </si>
  <si>
    <t>Cluster F production release baseline</t>
  </si>
  <si>
    <t>No</t>
  </si>
  <si>
    <t>Lifecycle Baseline End Week</t>
  </si>
  <si>
    <t>Initial field stabilization and lifecycle closure horizon</t>
  </si>
  <si>
    <t>Overall Planned Completion</t>
  </si>
  <si>
    <t>Weighted planned progress at Reporting Week</t>
  </si>
  <si>
    <t>Formula</t>
  </si>
  <si>
    <t>Overall Actual Completion</t>
  </si>
  <si>
    <t>Weighted sum of task Actual Completion values</t>
  </si>
  <si>
    <t>Actual minus planned</t>
  </si>
  <si>
    <t>Zero-progress tasks whose end week is before Reporting Week</t>
  </si>
  <si>
    <t>Tasks at 100%</t>
  </si>
  <si>
    <t>Detailed WBS rows</t>
  </si>
  <si>
    <t>Progress Update Method</t>
  </si>
  <si>
    <t>1</t>
  </si>
  <si>
    <t>Set Reporting Week in B7.</t>
  </si>
  <si>
    <t>2</t>
  </si>
  <si>
    <t>Update WBS column Q (Actual Completion %) using the dropdown.</t>
  </si>
  <si>
    <t>3</t>
  </si>
  <si>
    <t>Store links or file paths to evidence in WBS column X (Notes).</t>
  </si>
  <si>
    <t>4</t>
  </si>
  <si>
    <t>Review Dashboard variances, late tasks and cluster gates.</t>
  </si>
  <si>
    <t>ESP32-S3 Production Firmware Program — Detailed Work Breakdown Structure</t>
  </si>
  <si>
    <t>Baseline: 90 weeks, one owner. Update Actual Completion % and evidence links; all other progress fields calculate automatically.</t>
  </si>
  <si>
    <t>WBS ID</t>
  </si>
  <si>
    <t>Cluster Name</t>
  </si>
  <si>
    <t>Phase</t>
  </si>
  <si>
    <t>Phase Name</t>
  </si>
  <si>
    <t>Weekly Activity / Work Package</t>
  </si>
  <si>
    <t>Dependencies</t>
  </si>
  <si>
    <t>Start Week</t>
  </si>
  <si>
    <t>End Week</t>
  </si>
  <si>
    <t>Duration (wks)</t>
  </si>
  <si>
    <t>Effort Points</t>
  </si>
  <si>
    <t>Evidence / Deliverable</t>
  </si>
  <si>
    <t>Completion Criteria</t>
  </si>
  <si>
    <t>Planned Progress %</t>
  </si>
  <si>
    <t>Actual Completion %</t>
  </si>
  <si>
    <t>Weight %</t>
  </si>
  <si>
    <t>Planned Contribution %</t>
  </si>
  <si>
    <t>Actual Contribution %</t>
  </si>
  <si>
    <t>Status</t>
  </si>
  <si>
    <t>Planned Start</t>
  </si>
  <si>
    <t>Planned Finish</t>
  </si>
  <si>
    <t>Notes / Evidence Link</t>
  </si>
  <si>
    <t>A1.1</t>
  </si>
  <si>
    <t>A1</t>
  </si>
  <si>
    <t>Product concept definition</t>
  </si>
  <si>
    <t>Define users, operating environment, installation, power, connectivity, UI, maintenance and update strategy</t>
  </si>
  <si>
    <t>Product concept document and primary use-case list</t>
  </si>
  <si>
    <t>All primary users, operating modes and maintenance assumptions documented</t>
  </si>
  <si>
    <t>A1.2</t>
  </si>
  <si>
    <t>Model normal and abnormal operating scenarios</t>
  </si>
  <si>
    <t>Normal/abnormal scenario catalogue</t>
  </si>
  <si>
    <t>Every expected device mode and principal failure scenario has defined behavior</t>
  </si>
  <si>
    <t>A1.3</t>
  </si>
  <si>
    <t>Define firmware, cloud, mobile, factory and recovery boundaries</t>
  </si>
  <si>
    <t>System context diagram and product-boundary document</t>
  </si>
  <si>
    <t>Responsibilities are separated with no ambiguous ownership</t>
  </si>
  <si>
    <t>A2.1</t>
  </si>
  <si>
    <t>A2</t>
  </si>
  <si>
    <t>Requirements engineering</t>
  </si>
  <si>
    <t>Write uniquely identified functional requirements</t>
  </si>
  <si>
    <t>A1.2,A1.3</t>
  </si>
  <si>
    <t>System requirements specification with FR identifiers</t>
  </si>
  <si>
    <t>Each function is measurable and traceable</t>
  </si>
  <si>
    <t>A2.2</t>
  </si>
  <si>
    <t>Set measurable non-functional budgets for timing, memory, power, availability and security</t>
  </si>
  <si>
    <t>Non-functional requirements specification</t>
  </si>
  <si>
    <t>Every NFR has a numeric target and test method</t>
  </si>
  <si>
    <t>A2.3</t>
  </si>
  <si>
    <t>Define hardware, communications, diagnostics, manufacturing and OTA interfaces plus environmental constraints</t>
  </si>
  <si>
    <t>Interface control document and environmental/regulatory checklist</t>
  </si>
  <si>
    <t>All external and internal interfaces have limits, ownership and error behavior</t>
  </si>
  <si>
    <t>A2.4</t>
  </si>
  <si>
    <t>Build requirements traceability matrix and initial acceptance-test list</t>
  </si>
  <si>
    <t>A2.2,A2.3</t>
  </si>
  <si>
    <t>Requirements traceability matrix and acceptance-test catalogue</t>
  </si>
  <si>
    <t>Every requirement maps to architecture and a verification method</t>
  </si>
  <si>
    <t>A3.1</t>
  </si>
  <si>
    <t>A3</t>
  </si>
  <si>
    <t>Feasibility and risk analysis</t>
  </si>
  <si>
    <t>Validate ESP32-S3/Heltec V3 hardware constraints, pins, flash, PSRAM, RF, USB and power controls</t>
  </si>
  <si>
    <t>Hardware feasibility report and verified pin/constraint list</t>
  </si>
  <si>
    <t>Board revision and all critical electrical constraints are confirmed</t>
  </si>
  <si>
    <t>A3.2</t>
  </si>
  <si>
    <t>Prototype high-risk software capabilities: provisioning, LoRaWAN, TLS, OTA, sleep and storage recovery</t>
  </si>
  <si>
    <t>Proof-of-concept applications and test logs</t>
  </si>
  <si>
    <t>Each high-risk assumption is demonstrated on target hardware</t>
  </si>
  <si>
    <t>A3.3</t>
  </si>
  <si>
    <t>Create risk register and preliminary threat model; close Cluster A gate</t>
  </si>
  <si>
    <t>A2.4,A3.2</t>
  </si>
  <si>
    <t>Risk register, threat model and requirements-baseline review record</t>
  </si>
  <si>
    <t>Risks have mitigations and the requirements baseline is accepted</t>
  </si>
  <si>
    <t>B1.1</t>
  </si>
  <si>
    <t>B1</t>
  </si>
  <si>
    <t>Development environment setup</t>
  </si>
  <si>
    <t>Install and pin VS Code, ESP-IDF, Git, Python, CMake/Ninja, drivers and debugger support</t>
  </si>
  <si>
    <t>Tool-version manifest and installation record</t>
  </si>
  <si>
    <t>Pinned tools execute successfully on the Windows workstation</t>
  </si>
  <si>
    <t>B1.2</t>
  </si>
  <si>
    <t>Build, flash and monitor a minimal ESP32-S3 project from the controlled workspace</t>
  </si>
  <si>
    <t>Minimal project binary, flash log and serial monitor capture</t>
  </si>
  <si>
    <t>Clean build, flash and target execution succeed</t>
  </si>
  <si>
    <t>B1.3</t>
  </si>
  <si>
    <t>Document workstation setup and onboarding checks</t>
  </si>
  <si>
    <t>Developer setup guide and onboarding checklist</t>
  </si>
  <si>
    <t>A clean workstation can reproduce the setup</t>
  </si>
  <si>
    <t>B2.1</t>
  </si>
  <si>
    <t>B2</t>
  </si>
  <si>
    <t>Repository initialization</t>
  </si>
  <si>
    <t>Create production repository structure, .gitignore and component directories</t>
  </si>
  <si>
    <t>Initialized repository and directory baseline</t>
  </si>
  <si>
    <t>Repository builds from a clean clone and generated files are excluded</t>
  </si>
  <si>
    <t>B2.2</t>
  </si>
  <si>
    <t>Define branching, review, commit, release-tag and semantic-version policies</t>
  </si>
  <si>
    <t>Source-control and versioning policy</t>
  </si>
  <si>
    <t>Release and change-control rules are explicit</t>
  </si>
  <si>
    <t>B2.3</t>
  </si>
  <si>
    <t>Embed firmware metadata and verify secrets are excluded</t>
  </si>
  <si>
    <t>Build metadata output and secret-scan evidence</t>
  </si>
  <si>
    <t>Binary identifies source/tool versions and no credentials are committed</t>
  </si>
  <si>
    <t>B3.1</t>
  </si>
  <si>
    <t>B3</t>
  </si>
  <si>
    <t>Build configuration framework</t>
  </si>
  <si>
    <t>Create debug, validation and production sdkconfig profiles</t>
  </si>
  <si>
    <t>Pinned sdkconfig defaults for all profiles</t>
  </si>
  <si>
    <t>All profiles build and documented differences match policy</t>
  </si>
  <si>
    <t>B3.2</t>
  </si>
  <si>
    <t>Implement bootstrap, build, flash, erase, monitor and release scripts</t>
  </si>
  <si>
    <t>PowerShell/Python build-tool scripts</t>
  </si>
  <si>
    <t>Scripts operate from a clean checkout without manual path edits</t>
  </si>
  <si>
    <t>B3.3</t>
  </si>
  <si>
    <t>Add ESP-IDF version guard, image-size checks and deterministic build metadata</t>
  </si>
  <si>
    <t>Version-check and image-budget reports</t>
  </si>
  <si>
    <t>Build fails on wrong toolchain or release-size violation</t>
  </si>
  <si>
    <t>B4.1</t>
  </si>
  <si>
    <t>B4</t>
  </si>
  <si>
    <t>Continuous integration skeleton</t>
  </si>
  <si>
    <t>Create CI stages for format, static checks, host tests and profile builds</t>
  </si>
  <si>
    <t>CI workflow and successful pipeline run</t>
  </si>
  <si>
    <t>Every change receives automated checks and build results</t>
  </si>
  <si>
    <t>B4.2</t>
  </si>
  <si>
    <t>Archive binaries, ELF, MAP, partition table, sdkconfig, logs and test reports</t>
  </si>
  <si>
    <t>CI artifact archive</t>
  </si>
  <si>
    <t>Build outputs are traceable to source revision</t>
  </si>
  <si>
    <t>B4.3</t>
  </si>
  <si>
    <t>Reproduce clean checkout-to-flash workflow and close Cluster B gate</t>
  </si>
  <si>
    <t>B1.3,B4.2</t>
  </si>
  <si>
    <t>Engineering-baseline gate review</t>
  </si>
  <si>
    <t>Toolchain, repository, scripts and CI are reproducible</t>
  </si>
  <si>
    <t>C1.1</t>
  </si>
  <si>
    <t>C1</t>
  </si>
  <si>
    <t>System architecture</t>
  </si>
  <si>
    <t>Define firmware layers, component groups and dependency direction</t>
  </si>
  <si>
    <t>Architecture document and component diagram</t>
  </si>
  <si>
    <t>Layering prevents product logic from bypassing platform abstractions</t>
  </si>
  <si>
    <t>C1.2</t>
  </si>
  <si>
    <t>Specify component APIs, ownership, threading, initialization and error contracts</t>
  </si>
  <si>
    <t>Component interface specifications</t>
  </si>
  <si>
    <t>Every mutable resource and interface has a single owner</t>
  </si>
  <si>
    <t>C1.3</t>
  </si>
  <si>
    <t>Record architecture decisions and review for circular/overlapping responsibilities</t>
  </si>
  <si>
    <t>Architecture decision records and review checklist</t>
  </si>
  <si>
    <t>No circular dependencies or overlapping responsibilities remain</t>
  </si>
  <si>
    <t>C2.1</t>
  </si>
  <si>
    <t>C2</t>
  </si>
  <si>
    <t>Board support package</t>
  </si>
  <si>
    <t>Define board pins, active levels, pulls, electrical capabilities and revision detection</t>
  </si>
  <si>
    <t>Board pin map and revision strategy</t>
  </si>
  <si>
    <t>All board-specific data is isolated in the BSP</t>
  </si>
  <si>
    <t>C2.2</t>
  </si>
  <si>
    <t>Implement safe startup, peripheral power sequencing and bus initialization</t>
  </si>
  <si>
    <t>Board initialization code and startup-sequence trace</t>
  </si>
  <si>
    <t>Startup drives no unsafe outputs and buses initialize deterministically</t>
  </si>
  <si>
    <t>C2.3</t>
  </si>
  <si>
    <t>Build board self-test for GPIO, buttons, LED, I2C, SPI, OLED, SX1262, ADC and Vext</t>
  </si>
  <si>
    <t>Board self-test application and pass report</t>
  </si>
  <si>
    <t>Every board peripheral is independently verified</t>
  </si>
  <si>
    <t>C3.1</t>
  </si>
  <si>
    <t>C3</t>
  </si>
  <si>
    <t>HAL and device drivers</t>
  </si>
  <si>
    <t>Implement HAL wrappers for GPIO, I2C, SPI, UART, ADC, PWM, timers and power</t>
  </si>
  <si>
    <t>HAL components and API documentation</t>
  </si>
  <si>
    <t>Application and drivers use HAL contracts rather than raw peripheral calls</t>
  </si>
  <si>
    <t>C3.2</t>
  </si>
  <si>
    <t>Implement core sensor, actuator, LED and button drivers with structured errors</t>
  </si>
  <si>
    <t>Core device-driver components and unit tests</t>
  </si>
  <si>
    <t>Normal, invalid-input, timeout and missing-device paths are covered</t>
  </si>
  <si>
    <t>C3.3</t>
  </si>
  <si>
    <t>Implement OLED, SX1262 and battery-monitor drivers</t>
  </si>
  <si>
    <t>C3.1,C2.3</t>
  </si>
  <si>
    <t>Display, radio and battery driver test applications</t>
  </si>
  <si>
    <t>Drivers initialize and recover from communication faults</t>
  </si>
  <si>
    <t>C3.4</t>
  </si>
  <si>
    <t>Run bus recovery, repeated-init and ownership/concurrency tests</t>
  </si>
  <si>
    <t>C3.2,C3.3</t>
  </si>
  <si>
    <t>Driver fault-injection report</t>
  </si>
  <si>
    <t>Peripheral access is serialized and structured errors propagate</t>
  </si>
  <si>
    <t>C4.1</t>
  </si>
  <si>
    <t>C4</t>
  </si>
  <si>
    <t>Flash, bootloader, and partition architecture</t>
  </si>
  <si>
    <t>Design 8 MB partition table and warning/release/hard image budgets</t>
  </si>
  <si>
    <t>Production partition CSV and size-budget rationale</t>
  </si>
  <si>
    <t>All partitions fit and both OTA slots accept the release limit</t>
  </si>
  <si>
    <t>C4.2</t>
  </si>
  <si>
    <t>Define boot selection, trial-boot, rollback and recovery-entry flows</t>
  </si>
  <si>
    <t>Boot-flow and recovery-flow diagrams</t>
  </si>
  <si>
    <t>All boot and recovery paths have deterministic entry criteria</t>
  </si>
  <si>
    <t>C4.3</t>
  </si>
  <si>
    <t>Implement recovery application skeleton and partition inspection</t>
  </si>
  <si>
    <t>C4.2,C3.1</t>
  </si>
  <si>
    <t>Bootable recovery image</t>
  </si>
  <si>
    <t>Recovery starts independently and exposes essential diagnostics</t>
  </si>
  <si>
    <t>C4.4</t>
  </si>
  <si>
    <t>Validate partition offsets, maximum images and migration constraints</t>
  </si>
  <si>
    <t>Partition validation report</t>
  </si>
  <si>
    <t>Physical flash layout and upgrade constraints are verified</t>
  </si>
  <si>
    <t>C5.1</t>
  </si>
  <si>
    <t>C5</t>
  </si>
  <si>
    <t>Startup and service supervision</t>
  </si>
  <si>
    <t>Implement early startup, reset capture, NVS/config/identity load and board initialization</t>
  </si>
  <si>
    <t>C3.4,C4.4</t>
  </si>
  <si>
    <t>Minimal app_main and early-startup trace</t>
  </si>
  <si>
    <t>Initialization order is deterministic and failures are recorded</t>
  </si>
  <si>
    <t>C5.2</t>
  </si>
  <si>
    <t>Implement startup state machine and service result model</t>
  </si>
  <si>
    <t>Startup coordinator and supervisor</t>
  </si>
  <si>
    <t>Services report OK, degraded, retryable or fatal outcomes</t>
  </si>
  <si>
    <t>C5.3</t>
  </si>
  <si>
    <t>Implement boot-loop persistence, safe mode and recovery escalation</t>
  </si>
  <si>
    <t>Boot-failure policy and safe-mode implementation</t>
  </si>
  <si>
    <t>Repeated failures do not cause endless rebooting</t>
  </si>
  <si>
    <t>C5.4</t>
  </si>
  <si>
    <t>Test normal, degraded, fatal and recovery startup paths</t>
  </si>
  <si>
    <t>Startup-path test report</t>
  </si>
  <si>
    <t>All startup outcomes reach bounded, diagnosable states</t>
  </si>
  <si>
    <t>C6.1</t>
  </si>
  <si>
    <t>C6</t>
  </si>
  <si>
    <t>RTOS task and event architecture</t>
  </si>
  <si>
    <t>Define RTOS task ownership, priorities, stack budgets and liveness conditions</t>
  </si>
  <si>
    <t>Task architecture and priority/stack table</t>
  </si>
  <si>
    <t>Every task has one responsibility and measurable liveness</t>
  </si>
  <si>
    <t>C6.2</t>
  </si>
  <si>
    <t>Implement typed commands/events, bounded queues, notifications and timers</t>
  </si>
  <si>
    <t>Queue/event catalogue and messaging framework</t>
  </si>
  <si>
    <t>All buffers are bounded with overflow policy and diagnostics</t>
  </si>
  <si>
    <t>C6.3</t>
  </si>
  <si>
    <t>Configure stack monitoring, watchdog participation and blocking-time limits</t>
  </si>
  <si>
    <t>C6.2,C5.2</t>
  </si>
  <si>
    <t>Runtime stack/watchdog metrics</t>
  </si>
  <si>
    <t>Stack margins and watchdog policies are observable</t>
  </si>
  <si>
    <t>C6.4</t>
  </si>
  <si>
    <t>Stress queues, notifications, ISR handoff and concurrent service ownership</t>
  </si>
  <si>
    <t>RTOS concurrency test report</t>
  </si>
  <si>
    <t>No unbounded growth, starvation or ownership violation is observed</t>
  </si>
  <si>
    <t>C7.1</t>
  </si>
  <si>
    <t>C7</t>
  </si>
  <si>
    <t>Persistent storage platform</t>
  </si>
  <si>
    <t>Classify factory identity, user config, operational state and bulk data; define schemas</t>
  </si>
  <si>
    <t>Data classification and versioned schema specification</t>
  </si>
  <si>
    <t>Persisted formats are explicit and versioned</t>
  </si>
  <si>
    <t>C7.2</t>
  </si>
  <si>
    <t>Implement configuration service with integrity and atomic activation</t>
  </si>
  <si>
    <t>Configuration service and atomic-update tests</t>
  </si>
  <si>
    <t>Interrupted writes preserve the previous valid configuration</t>
  </si>
  <si>
    <t>C7.3</t>
  </si>
  <si>
    <t>Implement migrations, filesystem rotation, full-storage and cleanup behavior</t>
  </si>
  <si>
    <t>Migration functions and filesystem service</t>
  </si>
  <si>
    <t>Sequential migration and full-storage behavior are deterministic</t>
  </si>
  <si>
    <t>C7.4</t>
  </si>
  <si>
    <t>Execute storage corruption and power-loss tests</t>
  </si>
  <si>
    <t>Storage power-loss and recovery report</t>
  </si>
  <si>
    <t>Persistent data remains valid or recoverable</t>
  </si>
  <si>
    <t>C8.1</t>
  </si>
  <si>
    <t>C8</t>
  </si>
  <si>
    <t>Diagnostics and health monitoring</t>
  </si>
  <si>
    <t>Implement structured logging and stable event-ID catalogue</t>
  </si>
  <si>
    <t>Logging framework and event catalogue</t>
  </si>
  <si>
    <t>Logs use consistent fields and contain no sensitive values</t>
  </si>
  <si>
    <t>C8.2</t>
  </si>
  <si>
    <t>Implement diagnostic snapshot for versions, reset, heap, stacks, network and storage</t>
  </si>
  <si>
    <t>C8.1,C6.3,C7.4</t>
  </si>
  <si>
    <t>Health-monitor service and snapshot output</t>
  </si>
  <si>
    <t>Required support metrics are retrievable on demand</t>
  </si>
  <si>
    <t>C8.3</t>
  </si>
  <si>
    <t>Enable watchdog layers, core-dump partition and pre-crash event buffer</t>
  </si>
  <si>
    <t>C8.2,C4.4</t>
  </si>
  <si>
    <t>Watchdog/core-dump configuration and captured sample fault</t>
  </si>
  <si>
    <t>Crash evidence can be matched to retained ELF symbols</t>
  </si>
  <si>
    <t>C8.4</t>
  </si>
  <si>
    <t>Document core-dump retrieval and diagnostic triage workflow</t>
  </si>
  <si>
    <t>Field diagnostic and core-dump guide</t>
  </si>
  <si>
    <t>A fault can be captured, decoded and linked to a build</t>
  </si>
  <si>
    <t>C.G1</t>
  </si>
  <si>
    <t>Integrate board, drivers, storage, startup, RTOS and diagnostics into platform baseline</t>
  </si>
  <si>
    <t>C5.4,C6.4,C7.4,C8.4</t>
  </si>
  <si>
    <t>Integrated platform build and interface test report</t>
  </si>
  <si>
    <t>Platform services run together without product-specific coupling</t>
  </si>
  <si>
    <t>C.G2</t>
  </si>
  <si>
    <t>Run 72-hour platform soak, close blockers and approve Cluster C gate</t>
  </si>
  <si>
    <t>Soak report, defect closure list and platform-baseline approval</t>
  </si>
  <si>
    <t>No unexplained reset, heap drift or critical open defect remains</t>
  </si>
  <si>
    <t>D1.1</t>
  </si>
  <si>
    <t>D1</t>
  </si>
  <si>
    <t>Product state machine</t>
  </si>
  <si>
    <t>Define device states, product commands and events</t>
  </si>
  <si>
    <t>Product state diagram and command/event catalogue</t>
  </si>
  <si>
    <t>All mandatory product modes map to explicit states</t>
  </si>
  <si>
    <t>D1.2</t>
  </si>
  <si>
    <t>Implement transition handlers, timeouts, failure paths and persistent state</t>
  </si>
  <si>
    <t>State transition table and implementation</t>
  </si>
  <si>
    <t>Transitions are deterministic with defined unexpected-event behavior</t>
  </si>
  <si>
    <t>D1.3</t>
  </si>
  <si>
    <t>Unit-test normal, degraded, maintenance, update, safe and recovery transitions</t>
  </si>
  <si>
    <t>State-machine unit-test report</t>
  </si>
  <si>
    <t>Critical transitions and invalid-event paths pass</t>
  </si>
  <si>
    <t>D2.1</t>
  </si>
  <si>
    <t>D2</t>
  </si>
  <si>
    <t>Connectivity services</t>
  </si>
  <si>
    <t>Implement single-owner Wi-Fi network manager and lifecycle states</t>
  </si>
  <si>
    <t>Network manager component</t>
  </si>
  <si>
    <t>Only the network manager controls Wi-Fi</t>
  </si>
  <si>
    <t>D2.2</t>
  </si>
  <si>
    <t>Implement selected provisioning and authorized reset workflow</t>
  </si>
  <si>
    <t>Provisioning service and provisioning test logs</t>
  </si>
  <si>
    <t>Fresh and reset devices provision successfully</t>
  </si>
  <si>
    <t>D2.3</t>
  </si>
  <si>
    <t>Implement exponential backoff with jitter and connection diagnostics</t>
  </si>
  <si>
    <t>Retry/backoff implementation and metrics</t>
  </si>
  <si>
    <t>Reconnect storms are prevented and reasons are recorded</t>
  </si>
  <si>
    <t>D2.4</t>
  </si>
  <si>
    <t>Test long-duration network loss, recovery and repeated provisioning</t>
  </si>
  <si>
    <t>Connectivity resilience report</t>
  </si>
  <si>
    <t>Extended outages do not destabilize memory, storage or state</t>
  </si>
  <si>
    <t>D3.1</t>
  </si>
  <si>
    <t>D3</t>
  </si>
  <si>
    <t>LoRa and LoRaWAN services</t>
  </si>
  <si>
    <t>Integrate SX1262 reset, busy, DIO, frequency, power, sleep and wake behavior</t>
  </si>
  <si>
    <t>C3.3,D1.3</t>
  </si>
  <si>
    <t>Radio service and radio test logs</t>
  </si>
  <si>
    <t>Radio configuration and interrupt paths are stable</t>
  </si>
  <si>
    <t>D3.2</t>
  </si>
  <si>
    <t>Integrate LoRaWAN OTAA join, uplink, downlink, ADR and retry scheduling</t>
  </si>
  <si>
    <t>LoRaWAN manager and network-server test evidence</t>
  </si>
  <si>
    <t>Join and message exchange succeed reliably</t>
  </si>
  <si>
    <t>D3.3</t>
  </si>
  <si>
    <t>Persist frame counters and enforce region/key handling rules</t>
  </si>
  <si>
    <t>D3.2,C7.4</t>
  </si>
  <si>
    <t>Counter persistence and regional compliance tests</t>
  </si>
  <si>
    <t>Reset cannot cause prohibited counter reuse or region mismatch</t>
  </si>
  <si>
    <t>D3.4</t>
  </si>
  <si>
    <t>Run long-duration join/uplink/downlink stability test</t>
  </si>
  <si>
    <t>LoRaWAN endurance report</t>
  </si>
  <si>
    <t>Long-run operation meets reliability and duty-cycle requirements</t>
  </si>
  <si>
    <t>D4.1</t>
  </si>
  <si>
    <t>D4</t>
  </si>
  <si>
    <t>Cloud and transport services</t>
  </si>
  <si>
    <t>Define transport abstraction and versioned telemetry schema</t>
  </si>
  <si>
    <t>Transport API and telemetry specification</t>
  </si>
  <si>
    <t>Product logic is independent of MQTT/HTTP specifics</t>
  </si>
  <si>
    <t>D4.2</t>
  </si>
  <si>
    <t>Implement cloud client, certificate validation and response handling</t>
  </si>
  <si>
    <t>D2.4,D4.1</t>
  </si>
  <si>
    <t>Cloud client and integration logs</t>
  </si>
  <si>
    <t>Valid sessions work and invalid server responses are rejected safely</t>
  </si>
  <si>
    <t>D4.3</t>
  </si>
  <si>
    <t>Implement bounded offline spool, retry, expiry and deduplication</t>
  </si>
  <si>
    <t>D4.2,C7.4</t>
  </si>
  <si>
    <t>Offline queue and backlog test evidence</t>
  </si>
  <si>
    <t>Cloud outages cannot exhaust memory or storage</t>
  </si>
  <si>
    <t>D4.4</t>
  </si>
  <si>
    <t>Test disconnects, invalid payloads, backlog replay and throttling</t>
  </si>
  <si>
    <t>Cloud outage and replay report</t>
  </si>
  <si>
    <t>Documented data-loss and recovery behavior is verified</t>
  </si>
  <si>
    <t>D5.1</t>
  </si>
  <si>
    <t>D5</t>
  </si>
  <si>
    <t>Product sensing and control</t>
  </si>
  <si>
    <t>Implement acquisition validation, calibration, normalization and filtering pipeline</t>
  </si>
  <si>
    <t>D1.3,C3.2</t>
  </si>
  <si>
    <t>Acquisition service and sample-quality tests</t>
  </si>
  <si>
    <t>Invalid raw data is rejected before product decisions</t>
  </si>
  <si>
    <t>D5.2</t>
  </si>
  <si>
    <t>Implement control rules, hysteresis, timing, safety limits and manual override</t>
  </si>
  <si>
    <t>Control service and rule-test report</t>
  </si>
  <si>
    <t>Only one service writes actuator states</t>
  </si>
  <si>
    <t>D5.3</t>
  </si>
  <si>
    <t>Implement calibration storage, validity, migration and corrupt-data fallback</t>
  </si>
  <si>
    <t>D5.1,C7.4</t>
  </si>
  <si>
    <t>Calibration service and migration tests</t>
  </si>
  <si>
    <t>Corrupt calibration cannot produce unsafe output</t>
  </si>
  <si>
    <t>D5.4</t>
  </si>
  <si>
    <t>Verify control timing, boundaries and safe-output states</t>
  </si>
  <si>
    <t>D5.2,D5.3</t>
  </si>
  <si>
    <t>Algorithm, latency and safe-state test report</t>
  </si>
  <si>
    <t>Control and timing requirements pass under boundary inputs</t>
  </si>
  <si>
    <t>D6.1</t>
  </si>
  <si>
    <t>D6</t>
  </si>
  <si>
    <t>Power management</t>
  </si>
  <si>
    <t>Define active, idle, sleep, charging and battery-critical states</t>
  </si>
  <si>
    <t>D4.4,D5.4</t>
  </si>
  <si>
    <t>Power-state model</t>
  </si>
  <si>
    <t>All power transitions have entry/exit criteria</t>
  </si>
  <si>
    <t>D6.2</t>
  </si>
  <si>
    <t>Implement sleep coordinator, state save, peripheral shutdown and wake handling</t>
  </si>
  <si>
    <t>Sleep/wake implementation and traces</t>
  </si>
  <si>
    <t>Critical transactions complete before sleep and wake state is valid</t>
  </si>
  <si>
    <t>D6.3</t>
  </si>
  <si>
    <t>Measure boot, active, Wi-Fi, LoRa, idle and sleep currents; estimate battery life</t>
  </si>
  <si>
    <t>Power-consumption report and battery-life estimate</t>
  </si>
  <si>
    <t>Measured current remains within approved budget</t>
  </si>
  <si>
    <t>D6.4</t>
  </si>
  <si>
    <t>Run repeated sleep/wake and low-battery behavior tests</t>
  </si>
  <si>
    <t>Power-cycle repeatability report</t>
  </si>
  <si>
    <t>Cycles are repeatable without state corruption</t>
  </si>
  <si>
    <t>D7.1</t>
  </si>
  <si>
    <t>D7</t>
  </si>
  <si>
    <t>OTA update and recovery</t>
  </si>
  <si>
    <t>Define signed OTA manifest, compatibility and secure-version policy</t>
  </si>
  <si>
    <t>D4.4,D8.1</t>
  </si>
  <si>
    <t>OTA manifest specification</t>
  </si>
  <si>
    <t>Product, hardware, version, size, hash and signature rules are explicit</t>
  </si>
  <si>
    <t>D7.2</t>
  </si>
  <si>
    <t>Implement manifest fetch, download, cryptographic verification and staging</t>
  </si>
  <si>
    <t>OTA client and verifier tests</t>
  </si>
  <si>
    <t>Corrupt, oversized or incompatible images are rejected</t>
  </si>
  <si>
    <t>D7.3</t>
  </si>
  <si>
    <t>Implement trial-boot acceptance, rollback and boot-loop interaction</t>
  </si>
  <si>
    <t>D7.2,C5.3</t>
  </si>
  <si>
    <t>Trial-boot and rollback evidence</t>
  </si>
  <si>
    <t>Failed trial boot automatically returns to a valid image</t>
  </si>
  <si>
    <t>D7.4</t>
  </si>
  <si>
    <t>Complete recovery installer and test power loss during OTA paths</t>
  </si>
  <si>
    <t>D7.3,C4.3</t>
  </si>
  <si>
    <t>Recovery application and OTA power-loss matrix</t>
  </si>
  <si>
    <t>Power loss cannot brick the device and recovery reinstalls a signed image</t>
  </si>
  <si>
    <t>D8.1</t>
  </si>
  <si>
    <t>D8</t>
  </si>
  <si>
    <t>Security implementation</t>
  </si>
  <si>
    <t>Finalize security architecture, assets, trust boundaries and attack surfaces</t>
  </si>
  <si>
    <t>Updated threat model and security architecture</t>
  </si>
  <si>
    <t>Security requirements are allocated to implementation and tests</t>
  </si>
  <si>
    <t>D8.2</t>
  </si>
  <si>
    <t>Define per-device identity, key management, signing, eFuse and debug policies</t>
  </si>
  <si>
    <t>Key-management procedure and eFuse/debug plan</t>
  </si>
  <si>
    <t>Development, validation and production security states are separated</t>
  </si>
  <si>
    <t>D8.3</t>
  </si>
  <si>
    <t>Integrate secure boot, flash/NVS encryption, TLS validation and log redaction on validation hardware</t>
  </si>
  <si>
    <t>D8.2,D7.2</t>
  </si>
  <si>
    <t>Security-validation build and configuration evidence</t>
  </si>
  <si>
    <t>Authenticity and confidentiality controls operate together</t>
  </si>
  <si>
    <t>D8.4</t>
  </si>
  <si>
    <t>Implement security failure handling and verify unauthorized workflows fail</t>
  </si>
  <si>
    <t>Security failure-path test report</t>
  </si>
  <si>
    <t>Invalid signatures, identity faults and unauthorized resets are bounded</t>
  </si>
  <si>
    <t>D.G1</t>
  </si>
  <si>
    <t>Integrate product state, connectivity, LoRaWAN, cloud, sensing, power, OTA and security</t>
  </si>
  <si>
    <t>D2.4,D3.4,D4.4,D5.4,D6.4,D7.4,D8.4</t>
  </si>
  <si>
    <t>Feature-complete integrated build and system smoke report</t>
  </si>
  <si>
    <t>All mandatory features operate together</t>
  </si>
  <si>
    <t>D.G2</t>
  </si>
  <si>
    <t>Close feature blockers and approve Cluster D gate</t>
  </si>
  <si>
    <t>Feature-complete gate review and defect disposition</t>
  </si>
  <si>
    <t>No critical feature remains prototype-only</t>
  </si>
  <si>
    <t>E1.1</t>
  </si>
  <si>
    <t>E1</t>
  </si>
  <si>
    <t>Static verification</t>
  </si>
  <si>
    <t>Enforce warning policy, formatting, naming, headers and API documentation</t>
  </si>
  <si>
    <t>Compiler/style report</t>
  </si>
  <si>
    <t>Selected warnings are errors and style violations are resolved</t>
  </si>
  <si>
    <t>E1.2</t>
  </si>
  <si>
    <t>Run static analysis for memory, integer, locking, resource and return-value defects</t>
  </si>
  <si>
    <t>Static-analysis report</t>
  </si>
  <si>
    <t>No unresolved critical finding remains</t>
  </si>
  <si>
    <t>E1.3</t>
  </si>
  <si>
    <t>Review complexity, dead code, duplicate code and approved deviations</t>
  </si>
  <si>
    <t>Code-review record and deviation register</t>
  </si>
  <si>
    <t>All deviations are documented and accepted</t>
  </si>
  <si>
    <t>E2.1</t>
  </si>
  <si>
    <t>E2</t>
  </si>
  <si>
    <t>Unit and component testing</t>
  </si>
  <si>
    <t>Expand host tests for state machines, parsers, serialization, migration, retry and algorithms</t>
  </si>
  <si>
    <t>Host unit-test suite and report</t>
  </si>
  <si>
    <t>Critical pure logic and error paths pass</t>
  </si>
  <si>
    <t>E2.2</t>
  </si>
  <si>
    <t>Run target unit tests for storage, drivers, queues, timers, network and OTA managers</t>
  </si>
  <si>
    <t>Target component-test report</t>
  </si>
  <si>
    <t>ESP-IDF-dependent components pass on hardware</t>
  </si>
  <si>
    <t>E2.3</t>
  </si>
  <si>
    <t>Complete mocks/fakes, practical coverage review and CI automation</t>
  </si>
  <si>
    <t>Test doubles, coverage summary and automated test job</t>
  </si>
  <si>
    <t>Tests are repeatable in CI or controlled hardware</t>
  </si>
  <si>
    <t>E3.1</t>
  </si>
  <si>
    <t>E3</t>
  </si>
  <si>
    <t>Integration testing</t>
  </si>
  <si>
    <t>Test startup/storage, driver/acquisition, event/state, network/cloud and OTA/supervisor integration</t>
  </si>
  <si>
    <t>Platform integration-test report</t>
  </si>
  <si>
    <t>All defined component interfaces are exercised</t>
  </si>
  <si>
    <t>E3.2</t>
  </si>
  <si>
    <t>Inject bus timeout, disconnect, invalid message, storage full, corruption and missing peripheral</t>
  </si>
  <si>
    <t>Interface-failure test results</t>
  </si>
  <si>
    <t>Failure propagation follows architecture and ownership rules</t>
  </si>
  <si>
    <t>E3.3</t>
  </si>
  <si>
    <t>Update requirement-to-test traceability and defect records</t>
  </si>
  <si>
    <t>Updated RTM and defect list</t>
  </si>
  <si>
    <t>Every release requirement has current verification status</t>
  </si>
  <si>
    <t>E4.1</t>
  </si>
  <si>
    <t>E4</t>
  </si>
  <si>
    <t>System and hardware-in-loop testing</t>
  </si>
  <si>
    <t>Build HIL control for power, reset, GPIO, serial logs and network interruption</t>
  </si>
  <si>
    <t>HIL framework and automation scripts</t>
  </si>
  <si>
    <t>Target stimuli and evidence capture are repeatable</t>
  </si>
  <si>
    <t>E4.2</t>
  </si>
  <si>
    <t>Run factory reset-to-provisioning-to-operation-to-OTA end-to-end scenarios</t>
  </si>
  <si>
    <t>End-to-end system-test report</t>
  </si>
  <si>
    <t>Required product scenarios pass without manual intervention</t>
  </si>
  <si>
    <t>E4.3</t>
  </si>
  <si>
    <t>Run 24-hour smoke, multi-day stability, reboot, provisioning, sleep and backlog tests</t>
  </si>
  <si>
    <t>Long-duration report and stability metrics</t>
  </si>
  <si>
    <t>No unexplained reset, heap drift or unbounded queue growth occurs</t>
  </si>
  <si>
    <t>E5.1</t>
  </si>
  <si>
    <t>E5</t>
  </si>
  <si>
    <t>Robustness and fault-injection testing</t>
  </si>
  <si>
    <t>Interrupt power during storage writes, migration, OTA switch, trial boot and provisioning</t>
  </si>
  <si>
    <t>Power-loss test report</t>
  </si>
  <si>
    <t>Persistent data and bootability remain valid or recoverable</t>
  </si>
  <si>
    <t>E5.2</t>
  </si>
  <si>
    <t>Inject network, DNS, TLS, authentication, LoRaWAN and cloud server failures</t>
  </si>
  <si>
    <t>Communication fault-injection report</t>
  </si>
  <si>
    <t>Recovery time and retry behavior remain bounded</t>
  </si>
  <si>
    <t>E5.3</t>
  </si>
  <si>
    <t>Test low/fragmented heap, full queues/filesystem, rapid events, task stalls and deadlocks</t>
  </si>
  <si>
    <t>Resource/watchdog fault report</t>
  </si>
  <si>
    <t>Watchdog recovery produces useful diagnostics and no expected fault bricks the unit</t>
  </si>
  <si>
    <t>E6.1</t>
  </si>
  <si>
    <t>E6</t>
  </si>
  <si>
    <t>Performance and resource qualification</t>
  </si>
  <si>
    <t>Measure heap, fragmentation, internal/DMA memory, stacks, CPU load and idle margin</t>
  </si>
  <si>
    <t>Memory and CPU qualification report</t>
  </si>
  <si>
    <t>Resource use remains below approved limits under worst-case load</t>
  </si>
  <si>
    <t>E6.2</t>
  </si>
  <si>
    <t>Verify image sizes, filesystem reserve, boot/join/control/OTA/recovery timing</t>
  </si>
  <si>
    <t>Flash and timing qualification report</t>
  </si>
  <si>
    <t>Release image and all timing budgets pass</t>
  </si>
  <si>
    <t>E7.1</t>
  </si>
  <si>
    <t>E7</t>
  </si>
  <si>
    <t>Security validation</t>
  </si>
  <si>
    <t>Verify unsigned/modified/wrong-product/wrong-hardware/old-version image rejection and rollback</t>
  </si>
  <si>
    <t>E6.2,D8.4</t>
  </si>
  <si>
    <t>Firmware and storage security-validation report</t>
  </si>
  <si>
    <t>Authenticity, anti-rollback and encrypted-storage controls pass</t>
  </si>
  <si>
    <t>E7.2</t>
  </si>
  <si>
    <t>Verify certificates, hostname, auth failures, debug restrictions and recovery authorization</t>
  </si>
  <si>
    <t>Communication/interface security report</t>
  </si>
  <si>
    <t>Unauthorized commands and invalid trust chains fail safely</t>
  </si>
  <si>
    <t>E.G1</t>
  </si>
  <si>
    <t>Close critical/high defects, freeze release candidate and approve Cluster E gate</t>
  </si>
  <si>
    <t>E1.3,E3.3,E4.3,E5.3,E6.2,E7.2</t>
  </si>
  <si>
    <t>Release-candidate approval, reproducible build and residual-risk record</t>
  </si>
  <si>
    <t>All requirements have evidence and critical/high defects are closed or accepted</t>
  </si>
  <si>
    <t>F1.1</t>
  </si>
  <si>
    <t>F1</t>
  </si>
  <si>
    <t>Manufacturing test system</t>
  </si>
  <si>
    <t>Implement manufacturing firmware covering flash, RAM, GPIO, UI, buses, radio, wireless, ADC and identity</t>
  </si>
  <si>
    <t>Manufacturing-test application and coverage matrix</t>
  </si>
  <si>
    <t>Every production-critical hardware function has a pass/fail test</t>
  </si>
  <si>
    <t>F1.2</t>
  </si>
  <si>
    <t>Develop station software, fixture control, programming and result capture</t>
  </si>
  <si>
    <t>Manufacturing station software and fixture test</t>
  </si>
  <si>
    <t>Station programs, tests and records units repeatably</t>
  </si>
  <si>
    <t>F1.3</t>
  </si>
  <si>
    <t>Define traceability record, retest, repair and fail containment</t>
  </si>
  <si>
    <t>Manufacturing record schema and retest procedure</t>
  </si>
  <si>
    <t>Failed units cannot pass silently and every unit is traceable</t>
  </si>
  <si>
    <t>F2.1</t>
  </si>
  <si>
    <t>F2</t>
  </si>
  <si>
    <t>Security provisioning and eFuse control</t>
  </si>
  <si>
    <t>Implement controlled identity, certificate and security provisioning sequence</t>
  </si>
  <si>
    <t>F1.3,D8.2</t>
  </si>
  <si>
    <t>Provisioning workflow and audit record</t>
  </si>
  <si>
    <t>Identity is verified before irreversible operations</t>
  </si>
  <si>
    <t>F2.2</t>
  </si>
  <si>
    <t>Implement eFuse programming with preconditions, readback and failure recovery</t>
  </si>
  <si>
    <t>eFuse script and irreversible-operation checklist</t>
  </si>
  <si>
    <t>Every irreversible write is logged and verified</t>
  </si>
  <si>
    <t>F2.3</t>
  </si>
  <si>
    <t>Reboot and verify secure boot, flash encryption and final production state</t>
  </si>
  <si>
    <t>Post-provisioning security-state report</t>
  </si>
  <si>
    <t>Locked production configuration is independently verified</t>
  </si>
  <si>
    <t>F3.1</t>
  </si>
  <si>
    <t>F3</t>
  </si>
  <si>
    <t>Release packaging</t>
  </si>
  <si>
    <t>Package application, recovery, bootloader, partitions, OTA/factory images, ELF, MAP and checksums</t>
  </si>
  <si>
    <t>Signed release package</t>
  </si>
  <si>
    <t>All artifacts correspond to the same approved source</t>
  </si>
  <si>
    <t>F3.2</t>
  </si>
  <si>
    <t>Create manifest, SBOM, release notes, dependency lock and retention archive</t>
  </si>
  <si>
    <t>Release manifest, SBOM, notes and archived symbols</t>
  </si>
  <si>
    <t>Hashes verify and tagged source reproduces the release</t>
  </si>
  <si>
    <t>F4.1</t>
  </si>
  <si>
    <t>F4</t>
  </si>
  <si>
    <t>Pilot production and deployment</t>
  </si>
  <si>
    <t>Run pilot batch using final board, fixture, provisioning, security and package process</t>
  </si>
  <si>
    <t>Pilot production report</t>
  </si>
  <si>
    <t>Pilot units complete the final manufacturing flow</t>
  </si>
  <si>
    <t>F4.2</t>
  </si>
  <si>
    <t>Monitor yield, RF, boot, OTA, battery, reset and cloud behavior</t>
  </si>
  <si>
    <t>Yield and field-trial metrics</t>
  </si>
  <si>
    <t>Pilot metrics meet release thresholds</t>
  </si>
  <si>
    <t>F4.3</t>
  </si>
  <si>
    <t>Conduct go/no-go review for defects, yield, security, rollback and support readiness</t>
  </si>
  <si>
    <t>Production-release approval record</t>
  </si>
  <si>
    <t>Manufacturing, support and rollback readiness are accepted</t>
  </si>
  <si>
    <t>F.G1</t>
  </si>
  <si>
    <t>Tag and release production firmware; archive complete evidence package</t>
  </si>
  <si>
    <t>Production tag, signed artifacts and permanent evidence archive</t>
  </si>
  <si>
    <t>Approved production release is reproducible and recoverable</t>
  </si>
  <si>
    <t>G1.1</t>
  </si>
  <si>
    <t>G1</t>
  </si>
  <si>
    <t>Field monitoring</t>
  </si>
  <si>
    <t>Deploy health dashboard for versions, resets, boot loops, OTA, connectivity, heap, storage and watchdogs</t>
  </si>
  <si>
    <t>Device-health dashboard and metric definitions</t>
  </si>
  <si>
    <t>Fleet health is visible by firmware and hardware revision</t>
  </si>
  <si>
    <t>G1.2</t>
  </si>
  <si>
    <t>Set alert thresholds and publish support diagnostic procedure</t>
  </si>
  <si>
    <t>Alert rules and support guide</t>
  </si>
  <si>
    <t>Operational anomalies create actionable alerts</t>
  </si>
  <si>
    <t>G2.1</t>
  </si>
  <si>
    <t>G2</t>
  </si>
  <si>
    <t>Defect and incident management</t>
  </si>
  <si>
    <t>Define severity, incident intake, triage, core-dump and root-cause workflow</t>
  </si>
  <si>
    <t>Incident-management procedure and templates</t>
  </si>
  <si>
    <t>Critical-to-low incidents have explicit handling</t>
  </si>
  <si>
    <t>G2.2</t>
  </si>
  <si>
    <t>Rehearse hotfix, regression, rollback and controlled release workflow</t>
  </si>
  <si>
    <t>Hotfix rehearsal report</t>
  </si>
  <si>
    <t>A field defect can be corrected and rolled back safely</t>
  </si>
  <si>
    <t>G2.3</t>
  </si>
  <si>
    <t>Operate incident review and corrective-action loop during stabilization</t>
  </si>
  <si>
    <t>Incident log, RCA and corrective-action records</t>
  </si>
  <si>
    <t>Field issues are classified, traced and closed with regression evidence</t>
  </si>
  <si>
    <t>G3.1</t>
  </si>
  <si>
    <t>G3</t>
  </si>
  <si>
    <t>Controlled OTA rollout</t>
  </si>
  <si>
    <t>Roll out to internal and engineering fleets; monitor stop criteria</t>
  </si>
  <si>
    <t>F.G1,G1.1</t>
  </si>
  <si>
    <t>Internal rollout report</t>
  </si>
  <si>
    <t>No threshold breach before external exposure</t>
  </si>
  <si>
    <t>G3.2</t>
  </si>
  <si>
    <t>Roll out to pilot customers and small production percentage</t>
  </si>
  <si>
    <t>Pilot rollout dashboard and decision record</t>
  </si>
  <si>
    <t>Download, trial and rollback metrics remain acceptable</t>
  </si>
  <si>
    <t>G3.3</t>
  </si>
  <si>
    <t>Expand staged rollout to larger percentages and full fleet</t>
  </si>
  <si>
    <t>Full rollout report</t>
  </si>
  <si>
    <t>Rollout completes without stop-condition breach</t>
  </si>
  <si>
    <t>G4.1</t>
  </si>
  <si>
    <t>G4</t>
  </si>
  <si>
    <t>Framework and dependency upgrades</t>
  </si>
  <si>
    <t>Assess framework/dependency security fixes, support dates, APIs, bootloader, size and radio impact</t>
  </si>
  <si>
    <t>Upgrade-impact report</t>
  </si>
  <si>
    <t>Upgrade risks and required migrations are identified</t>
  </si>
  <si>
    <t>G4.2</t>
  </si>
  <si>
    <t>Run clean build, storage, OTA, rollback, power-loss, security, performance and endurance regression</t>
  </si>
  <si>
    <t>Dependency-upgrade regression report</t>
  </si>
  <si>
    <t>Upgrade preserves release requirements</t>
  </si>
  <si>
    <t>G5.1</t>
  </si>
  <si>
    <t>G5</t>
  </si>
  <si>
    <t>Hardware revision support</t>
  </si>
  <si>
    <t>Define hardware compatibility matrix and update board revision detection/BSP</t>
  </si>
  <si>
    <t>Hardware compatibility matrix and BSP update</t>
  </si>
  <si>
    <t>Firmware compatibility range is explicit</t>
  </si>
  <si>
    <t>G5.2</t>
  </si>
  <si>
    <t>Test peripherals, boot, RF and OTA across supported revisions; reject incompatible images</t>
  </si>
  <si>
    <t>Hardware-revision qualification report</t>
  </si>
  <si>
    <t>Compatible revisions pass and incompatible images are rejected</t>
  </si>
  <si>
    <t>G6.1</t>
  </si>
  <si>
    <t>G6</t>
  </si>
  <si>
    <t>End-of-life</t>
  </si>
  <si>
    <t>Define final firmware, signing-key, cloud shutdown, credential revocation and retention policy</t>
  </si>
  <si>
    <t>End-of-life policy</t>
  </si>
  <si>
    <t>Service, security and archival obligations have defined endpoints</t>
  </si>
  <si>
    <t>G6.2</t>
  </si>
  <si>
    <t>Archive final firmware/tools/records and complete product-closure review</t>
  </si>
  <si>
    <t>G6.1,G2.3</t>
  </si>
  <si>
    <t>Product-closure package and approval</t>
  </si>
  <si>
    <t>Final artifacts and responsibilities are formally closed</t>
  </si>
  <si>
    <t>Phase-Level Summary</t>
  </si>
  <si>
    <t>Work Packages</t>
  </si>
  <si>
    <t>Phase Status</t>
  </si>
  <si>
    <t>90-Week Solo Execution Plan</t>
  </si>
  <si>
    <t>Week</t>
  </si>
  <si>
    <t>Week Start</t>
  </si>
  <si>
    <t>Week Finish</t>
  </si>
  <si>
    <t>Active WBS IDs</t>
  </si>
  <si>
    <t>Weekly Focus</t>
  </si>
  <si>
    <t>Evidence Due</t>
  </si>
  <si>
    <t>Gate / Milestone</t>
  </si>
  <si>
    <t>Planned Cumulative %</t>
  </si>
  <si>
    <t>Actual Snapshot</t>
  </si>
  <si>
    <t>A1.1, A1.2</t>
  </si>
  <si>
    <t>A1.1: Define users, operating environment, installation, power, connectivity, UI, maintenance and update strategy
A1.2: Model normal and abnormal operating scenarios</t>
  </si>
  <si>
    <t>A1.1: Product concept document and primary use-case list</t>
  </si>
  <si>
    <t>A1.2, A1.3, A2.1</t>
  </si>
  <si>
    <t>A1.2: Model normal and abnormal operating scenarios
A1.3: Define firmware, cloud, mobile, factory and recovery boundaries
A2.1: Write uniquely identified functional requirements</t>
  </si>
  <si>
    <t>A1.2: Normal/abnormal scenario catalogue
A1.3: System context diagram and product-boundary document</t>
  </si>
  <si>
    <t>A2.1, A2.2, A2.3</t>
  </si>
  <si>
    <t>A2.1: Write uniquely identified functional requirements
A2.2: Set measurable non-functional budgets for timing, memory, power, availability and security
A2.3: Define hardware, communications, diagnostics, manufacturing and OTA interfaces plus environmental constraints</t>
  </si>
  <si>
    <t>A2.1: System requirements specification with FR identifiers
A2.2: Non-functional requirements specification</t>
  </si>
  <si>
    <t>A2.3, A2.4, A3.1</t>
  </si>
  <si>
    <t>A2.3: Define hardware, communications, diagnostics, manufacturing and OTA interfaces plus environmental constraints
A2.4: Build requirements traceability matrix and initial acceptance-test list
A3.1: Validate ESP32-S3/Heltec V3 hardware constraints, pins, flash, PSRAM, RF, USB and power controls</t>
  </si>
  <si>
    <t>A2.3: Interface control document and environmental/regulatory checklist
A2.4: Requirements traceability matrix and acceptance-test catalogue</t>
  </si>
  <si>
    <t>A3.1, A3.2</t>
  </si>
  <si>
    <t>A3.1: Validate ESP32-S3/Heltec V3 hardware constraints, pins, flash, PSRAM, RF, USB and power controls
A3.2: Prototype high-risk software capabilities: provisioning, LoRaWAN, TLS, OTA, sleep and storage recovery</t>
  </si>
  <si>
    <t>A3.1: Hardware feasibility report and verified pin/constraint list</t>
  </si>
  <si>
    <t>A3.2, A3.3</t>
  </si>
  <si>
    <t>A3.2: Prototype high-risk software capabilities: provisioning, LoRaWAN, TLS, OTA, sleep and storage recovery
A3.3: Create risk register and preliminary threat model; close Cluster A gate</t>
  </si>
  <si>
    <t>A3.2: Proof-of-concept applications and test logs
A3.3: Risk register, threat model and requirements-baseline review record</t>
  </si>
  <si>
    <t>G-A: Risks have mitigations and the requirements baseline is accepted</t>
  </si>
  <si>
    <t>B1.1, B1.2</t>
  </si>
  <si>
    <t>B1.1: Install and pin VS Code, ESP-IDF, Git, Python, CMake/Ninja, drivers and debugger support
B1.2: Build, flash and monitor a minimal ESP32-S3 project from the controlled workspace</t>
  </si>
  <si>
    <t>B1.1: Tool-version manifest and installation record</t>
  </si>
  <si>
    <t>B1.2, B1.3, B2.1</t>
  </si>
  <si>
    <t>B1.2: Build, flash and monitor a minimal ESP32-S3 project from the controlled workspace
B1.3: Document workstation setup and onboarding checks
B2.1: Create production repository structure, .gitignore and component directories</t>
  </si>
  <si>
    <t>B1.2: Minimal project binary, flash log and serial monitor capture
B1.3: Developer setup guide and onboarding checklist
B2.1: Initialized repository and directory baseline</t>
  </si>
  <si>
    <t>B2.2, B2.3, B3.1</t>
  </si>
  <si>
    <t>B2.2: Define branching, review, commit, release-tag and semantic-version policies
B2.3: Embed firmware metadata and verify secrets are excluded
B3.1: Create debug, validation and production sdkconfig profiles</t>
  </si>
  <si>
    <t>B2.2: Source-control and versioning policy
B2.3: Build metadata output and secret-scan evidence</t>
  </si>
  <si>
    <t>B3.1, B3.2</t>
  </si>
  <si>
    <t>B3.1: Create debug, validation and production sdkconfig profiles
B3.2: Implement bootstrap, build, flash, erase, monitor and release scripts</t>
  </si>
  <si>
    <t>B3.1: Pinned sdkconfig defaults for all profiles</t>
  </si>
  <si>
    <t>B3.2, B3.3, B4.1</t>
  </si>
  <si>
    <t>B3.2: Implement bootstrap, build, flash, erase, monitor and release scripts
B3.3: Add ESP-IDF version guard, image-size checks and deterministic build metadata
B4.1: Create CI stages for format, static checks, host tests and profile builds</t>
  </si>
  <si>
    <t>B3.2: PowerShell/Python build-tool scripts
B3.3: Version-check and image-budget reports</t>
  </si>
  <si>
    <t>B4.1, B4.2, B4.3</t>
  </si>
  <si>
    <t>B4.1: Create CI stages for format, static checks, host tests and profile builds
B4.2: Archive binaries, ELF, MAP, partition table, sdkconfig, logs and test reports
B4.3: Reproduce clean checkout-to-flash workflow and close Cluster B gate</t>
  </si>
  <si>
    <t>B4.1: CI workflow and successful pipeline run
B4.2: CI artifact archive
B4.3: Engineering-baseline gate review</t>
  </si>
  <si>
    <t>G-B: Toolchain, repository, scripts and CI are reproducible</t>
  </si>
  <si>
    <t>C1.1, C1.2</t>
  </si>
  <si>
    <t>C1.1: Define firmware layers, component groups and dependency direction
C1.2: Specify component APIs, ownership, threading, initialization and error contracts</t>
  </si>
  <si>
    <t>C1.1: Architecture document and component diagram</t>
  </si>
  <si>
    <t>C1.2, C1.3</t>
  </si>
  <si>
    <t>C1.2: Specify component APIs, ownership, threading, initialization and error contracts
C1.3: Record architecture decisions and review for circular/overlapping responsibilities</t>
  </si>
  <si>
    <t>C1.2: Component interface specifications
C1.3: Architecture decision records and review checklist</t>
  </si>
  <si>
    <t>C2.1, C2.2, C4.1</t>
  </si>
  <si>
    <t>C2.1: Define board pins, active levels, pulls, electrical capabilities and revision detection
C2.2: Implement safe startup, peripheral power sequencing and bus initialization
C4.1: Design 8 MB partition table and warning/release/hard image budgets</t>
  </si>
  <si>
    <t>C2.1: Board pin map and revision strategy</t>
  </si>
  <si>
    <t>C2.2, C2.3, C4.1</t>
  </si>
  <si>
    <t>C2.2: Implement safe startup, peripheral power sequencing and bus initialization
C2.3: Build board self-test for GPIO, buttons, LED, I2C, SPI, OLED, SX1262, ADC and Vext
C4.1: Design 8 MB partition table and warning/release/hard image budgets</t>
  </si>
  <si>
    <t>C2.2: Board initialization code and startup-sequence trace
C4.1: Production partition CSV and size-budget rationale</t>
  </si>
  <si>
    <t>C2.3, C4.2</t>
  </si>
  <si>
    <t>C2.3: Build board self-test for GPIO, buttons, LED, I2C, SPI, OLED, SX1262, ADC and Vext
C4.2: Define boot selection, trial-boot, rollback and recovery-entry flows</t>
  </si>
  <si>
    <t>C2.3: Board self-test application and pass report
C4.2: Boot-flow and recovery-flow diagrams</t>
  </si>
  <si>
    <t>C3.1, C4.3, C4.4</t>
  </si>
  <si>
    <t>C3.1: Implement HAL wrappers for GPIO, I2C, SPI, UART, ADC, PWM, timers and power
C4.3: Implement recovery application skeleton and partition inspection
C4.4: Validate partition offsets, maximum images and migration constraints</t>
  </si>
  <si>
    <t>C4.3: Bootable recovery image
C4.4: Partition validation report</t>
  </si>
  <si>
    <t>C3.1, C3.2</t>
  </si>
  <si>
    <t>C3.1: Implement HAL wrappers for GPIO, I2C, SPI, UART, ADC, PWM, timers and power
C3.2: Implement core sensor, actuator, LED and button drivers with structured errors</t>
  </si>
  <si>
    <t>C3.1: HAL components and API documentation</t>
  </si>
  <si>
    <t>C3.2, C3.3</t>
  </si>
  <si>
    <t>C3.2: Implement core sensor, actuator, LED and button drivers with structured errors
C3.3: Implement OLED, SX1262 and battery-monitor drivers</t>
  </si>
  <si>
    <t>C3.2: Core device-driver components and unit tests</t>
  </si>
  <si>
    <t>C3.3, C3.4</t>
  </si>
  <si>
    <t>C3.3: Implement OLED, SX1262 and battery-monitor drivers
C3.4: Run bus recovery, repeated-init and ownership/concurrency tests</t>
  </si>
  <si>
    <t>C3.3: Display, radio and battery driver test applications
C3.4: Driver fault-injection report</t>
  </si>
  <si>
    <t>C5.1, C5.2, C6.1</t>
  </si>
  <si>
    <t>C5.1: Implement early startup, reset capture, NVS/config/identity load and board initialization
C5.2: Implement startup state machine and service result model
C6.1: Define RTOS task ownership, priorities, stack budgets and liveness conditions</t>
  </si>
  <si>
    <t>C5.1: Minimal app_main and early-startup trace
C6.1: Task architecture and priority/stack table</t>
  </si>
  <si>
    <t>C5.2, C5.3, C6.2</t>
  </si>
  <si>
    <t>C5.2: Implement startup state machine and service result model
C5.3: Implement boot-loop persistence, safe mode and recovery escalation
C6.2: Implement typed commands/events, bounded queues, notifications and timers</t>
  </si>
  <si>
    <t>C5.2: Startup coordinator and supervisor</t>
  </si>
  <si>
    <t>C5.3, C5.4, C6.2, C6.3</t>
  </si>
  <si>
    <t>C5.3: Implement boot-loop persistence, safe mode and recovery escalation
C5.4: Test normal, degraded, fatal and recovery startup paths
C6.2: Implement typed commands/events, bounded queues, notifications and timers
C6.3: Configure stack monitoring, watchdog participation and blocking-time limits</t>
  </si>
  <si>
    <t>C5.3: Boot-failure policy and safe-mode implementation
C5.4: Startup-path test report
C6.2: Queue/event catalogue and messaging framework</t>
  </si>
  <si>
    <t>C6.3, C6.4</t>
  </si>
  <si>
    <t>C6.3: Configure stack monitoring, watchdog participation and blocking-time limits
C6.4: Stress queues, notifications, ISR handoff and concurrent service ownership</t>
  </si>
  <si>
    <t>C6.3: Runtime stack/watchdog metrics
C6.4: RTOS concurrency test report</t>
  </si>
  <si>
    <t>C7.1, C7.2</t>
  </si>
  <si>
    <t>C7.1: Classify factory identity, user config, operational state and bulk data; define schemas
C7.2: Implement configuration service with integrity and atomic activation</t>
  </si>
  <si>
    <t>C7.1: Data classification and versioned schema specification</t>
  </si>
  <si>
    <t>C7.2, C7.3</t>
  </si>
  <si>
    <t>C7.2: Implement configuration service with integrity and atomic activation
C7.3: Implement migrations, filesystem rotation, full-storage and cleanup behavior</t>
  </si>
  <si>
    <t>C7.2: Configuration service and atomic-update tests</t>
  </si>
  <si>
    <t>C7.3, C7.4</t>
  </si>
  <si>
    <t>C7.3: Implement migrations, filesystem rotation, full-storage and cleanup behavior
C7.4: Execute storage corruption and power-loss tests</t>
  </si>
  <si>
    <t>C7.3: Migration functions and filesystem service
C7.4: Storage power-loss and recovery report</t>
  </si>
  <si>
    <t>C8.1, C8.2</t>
  </si>
  <si>
    <t>C8.1: Implement structured logging and stable event-ID catalogue
C8.2: Implement diagnostic snapshot for versions, reset, heap, stacks, network and storage</t>
  </si>
  <si>
    <t>C8.1: Logging framework and event catalogue</t>
  </si>
  <si>
    <t>C8.2, C8.3</t>
  </si>
  <si>
    <t>C8.2: Implement diagnostic snapshot for versions, reset, heap, stacks, network and storage
C8.3: Enable watchdog layers, core-dump partition and pre-crash event buffer</t>
  </si>
  <si>
    <t>C8.2: Health-monitor service and snapshot output</t>
  </si>
  <si>
    <t>C8.3, C8.4</t>
  </si>
  <si>
    <t>C8.3: Enable watchdog layers, core-dump partition and pre-crash event buffer
C8.4: Document core-dump retrieval and diagnostic triage workflow</t>
  </si>
  <si>
    <t>C8.3: Watchdog/core-dump configuration and captured sample fault
C8.4: Field diagnostic and core-dump guide</t>
  </si>
  <si>
    <t>C.G1: Integrate board, drivers, storage, startup, RTOS and diagnostics into platform baseline</t>
  </si>
  <si>
    <t>C.G1, C.G2</t>
  </si>
  <si>
    <t>C.G1: Integrate board, drivers, storage, startup, RTOS and diagnostics into platform baseline
C.G2: Run 72-hour platform soak, close blockers and approve Cluster C gate</t>
  </si>
  <si>
    <t>C.G1: Integrated platform build and interface test report</t>
  </si>
  <si>
    <t>G-C: Platform services run together without product-specific coupling</t>
  </si>
  <si>
    <t>C.G2: Run 72-hour platform soak, close blockers and approve Cluster C gate</t>
  </si>
  <si>
    <t>C.G2: Soak report, defect closure list and platform-baseline approval</t>
  </si>
  <si>
    <t>G-C: No unexplained reset, heap drift or critical open defect remains</t>
  </si>
  <si>
    <t>D1.1, D8.1</t>
  </si>
  <si>
    <t>D1.1: Define device states, product commands and events
D8.1: Finalize security architecture, assets, trust boundaries and attack surfaces</t>
  </si>
  <si>
    <t>D1.1: Product state diagram and command/event catalogue</t>
  </si>
  <si>
    <t>D1.2, D8.1</t>
  </si>
  <si>
    <t>D1.2: Implement transition handlers, timeouts, failure paths and persistent state
D8.1: Finalize security architecture, assets, trust boundaries and attack surfaces</t>
  </si>
  <si>
    <t>D1.2: State transition table and implementation
D8.1: Updated threat model and security architecture</t>
  </si>
  <si>
    <t>D1.3: Unit-test normal, degraded, maintenance, update, safe and recovery transitions</t>
  </si>
  <si>
    <t>D1.3: State-machine unit-test report</t>
  </si>
  <si>
    <t>D2.1, D5.1</t>
  </si>
  <si>
    <t>D2.1: Implement single-owner Wi-Fi network manager and lifecycle states
D5.1: Implement acquisition validation, calibration, normalization and filtering pipeline</t>
  </si>
  <si>
    <t>D2.1: Network manager component</t>
  </si>
  <si>
    <t>D2.2, D5.1, D5.2</t>
  </si>
  <si>
    <t>D2.2: Implement selected provisioning and authorized reset workflow
D5.1: Implement acquisition validation, calibration, normalization and filtering pipeline
D5.2: Implement control rules, hysteresis, timing, safety limits and manual override</t>
  </si>
  <si>
    <t>D2.2: Provisioning service and provisioning test logs
D5.1: Acquisition service and sample-quality tests</t>
  </si>
  <si>
    <t>D2.3, D2.4, D5.2</t>
  </si>
  <si>
    <t>D2.3: Implement exponential backoff with jitter and connection diagnostics
D2.4: Test long-duration network loss, recovery and repeated provisioning
D5.2: Implement control rules, hysteresis, timing, safety limits and manual override</t>
  </si>
  <si>
    <t>D2.3: Retry/backoff implementation and metrics
D2.4: Connectivity resilience report
D5.2: Control service and rule-test report</t>
  </si>
  <si>
    <t>D3.1, D5.3</t>
  </si>
  <si>
    <t>D3.1: Integrate SX1262 reset, busy, DIO, frequency, power, sleep and wake behavior
D5.3: Implement calibration storage, validity, migration and corrupt-data fallback</t>
  </si>
  <si>
    <t>D5.3: Calibration service and migration tests</t>
  </si>
  <si>
    <t>D3.1, D3.2, D5.4</t>
  </si>
  <si>
    <t>D3.1: Integrate SX1262 reset, busy, DIO, frequency, power, sleep and wake behavior
D3.2: Integrate LoRaWAN OTAA join, uplink, downlink, ADR and retry scheduling
D5.4: Verify control timing, boundaries and safe-output states</t>
  </si>
  <si>
    <t>D3.1: Radio service and radio test logs
D5.4: Algorithm, latency and safe-state test report</t>
  </si>
  <si>
    <t>D3.2, D3.3, D8.2</t>
  </si>
  <si>
    <t>D3.2: Integrate LoRaWAN OTAA join, uplink, downlink, ADR and retry scheduling
D3.3: Persist frame counters and enforce region/key handling rules
D8.2: Define per-device identity, key management, signing, eFuse and debug policies</t>
  </si>
  <si>
    <t>D3.2: LoRaWAN manager and network-server test evidence</t>
  </si>
  <si>
    <t>D3.3, D3.4, D8.2</t>
  </si>
  <si>
    <t>D3.3: Persist frame counters and enforce region/key handling rules
D3.4: Run long-duration join/uplink/downlink stability test
D8.2: Define per-device identity, key management, signing, eFuse and debug policies</t>
  </si>
  <si>
    <t>D3.3: Counter persistence and regional compliance tests
D3.4: LoRaWAN endurance report
D8.2: Key-management procedure and eFuse/debug plan</t>
  </si>
  <si>
    <t>D4.1: Define transport abstraction and versioned telemetry schema</t>
  </si>
  <si>
    <t>D4.1: Transport API and telemetry specification</t>
  </si>
  <si>
    <t>D4.2, D4.3</t>
  </si>
  <si>
    <t>D4.2: Implement cloud client, certificate validation and response handling
D4.3: Implement bounded offline spool, retry, expiry and deduplication</t>
  </si>
  <si>
    <t>D4.2: Cloud client and integration logs</t>
  </si>
  <si>
    <t>D4.3, D4.4</t>
  </si>
  <si>
    <t>D4.3: Implement bounded offline spool, retry, expiry and deduplication
D4.4: Test disconnects, invalid payloads, backlog replay and throttling</t>
  </si>
  <si>
    <t>D4.3: Offline queue and backlog test evidence
D4.4: Cloud outage and replay report</t>
  </si>
  <si>
    <t>D6.1: Define active, idle, sleep, charging and battery-critical states</t>
  </si>
  <si>
    <t>D6.1: Power-state model</t>
  </si>
  <si>
    <t>D6.2: Implement sleep coordinator, state save, peripheral shutdown and wake handling</t>
  </si>
  <si>
    <t>D6.2: Sleep/wake implementation and traces</t>
  </si>
  <si>
    <t>D6.3, D6.4</t>
  </si>
  <si>
    <t>D6.3: Measure boot, active, Wi-Fi, LoRa, idle and sleep currents; estimate battery life
D6.4: Run repeated sleep/wake and low-battery behavior tests</t>
  </si>
  <si>
    <t>D6.3: Power-consumption report and battery-life estimate
D6.4: Power-cycle repeatability report</t>
  </si>
  <si>
    <t>D7.1, D7.2</t>
  </si>
  <si>
    <t>D7.1: Define signed OTA manifest, compatibility and secure-version policy
D7.2: Implement manifest fetch, download, cryptographic verification and staging</t>
  </si>
  <si>
    <t>D7.1: OTA manifest specification</t>
  </si>
  <si>
    <t>D7.2: Implement manifest fetch, download, cryptographic verification and staging</t>
  </si>
  <si>
    <t>D7.2: OTA client and verifier tests</t>
  </si>
  <si>
    <t>D7.3, D8.3</t>
  </si>
  <si>
    <t>D7.3: Implement trial-boot acceptance, rollback and boot-loop interaction
D8.3: Integrate secure boot, flash/NVS encryption, TLS validation and log redaction on validation hardware</t>
  </si>
  <si>
    <t>D7.3: Trial-boot and rollback evidence</t>
  </si>
  <si>
    <t>D7.4, D8.3, D8.4</t>
  </si>
  <si>
    <t>D7.4: Complete recovery installer and test power loss during OTA paths
D8.3: Integrate secure boot, flash/NVS encryption, TLS validation and log redaction on validation hardware
D8.4: Implement security failure handling and verify unauthorized workflows fail</t>
  </si>
  <si>
    <t>D7.4: Recovery application and OTA power-loss matrix
D8.3: Security-validation build and configuration evidence
D8.4: Security failure-path test report</t>
  </si>
  <si>
    <t>D.G1: Integrate product state, connectivity, LoRaWAN, cloud, sensing, power, OTA and security</t>
  </si>
  <si>
    <t>D.G1: Feature-complete integrated build and system smoke report</t>
  </si>
  <si>
    <t>G-D: All mandatory features operate together</t>
  </si>
  <si>
    <t>D.G2: Close feature blockers and approve Cluster D gate</t>
  </si>
  <si>
    <t>D.G2: Feature-complete gate review and defect disposition</t>
  </si>
  <si>
    <t>G-D: No critical feature remains prototype-only</t>
  </si>
  <si>
    <t>E1.1, E2.1</t>
  </si>
  <si>
    <t>E1.1: Enforce warning policy, formatting, naming, headers and API documentation
E2.1: Expand host tests for state machines, parsers, serialization, migration, retry and algorithms</t>
  </si>
  <si>
    <t>E1.1: Compiler/style report</t>
  </si>
  <si>
    <t>E1.2, E1.3, E2.1</t>
  </si>
  <si>
    <t>E1.2: Run static analysis for memory, integer, locking, resource and return-value defects
E1.3: Review complexity, dead code, duplicate code and approved deviations
E2.1: Expand host tests for state machines, parsers, serialization, migration, retry and algorithms</t>
  </si>
  <si>
    <t>E1.2: Static-analysis report
E1.3: Code-review record and deviation register
E2.1: Host unit-test suite and report</t>
  </si>
  <si>
    <t>E2.2: Run target unit tests for storage, drivers, queues, timers, network and OTA managers</t>
  </si>
  <si>
    <t>E2.2: Target component-test report</t>
  </si>
  <si>
    <t>E2.3: Complete mocks/fakes, practical coverage review and CI automation</t>
  </si>
  <si>
    <t>E2.3: Test doubles, coverage summary and automated test job</t>
  </si>
  <si>
    <t>E3.1: Test startup/storage, driver/acquisition, event/state, network/cloud and OTA/supervisor integration</t>
  </si>
  <si>
    <t>E3.1: Platform integration-test report</t>
  </si>
  <si>
    <t>E3.2, E3.3</t>
  </si>
  <si>
    <t>E3.2: Inject bus timeout, disconnect, invalid message, storage full, corruption and missing peripheral
E3.3: Update requirement-to-test traceability and defect records</t>
  </si>
  <si>
    <t>E3.2: Interface-failure test results
E3.3: Updated RTM and defect list</t>
  </si>
  <si>
    <t>E4.1: Build HIL control for power, reset, GPIO, serial logs and network interruption</t>
  </si>
  <si>
    <t>E4.1: HIL framework and automation scripts</t>
  </si>
  <si>
    <t>E4.2: Run factory reset-to-provisioning-to-operation-to-OTA end-to-end scenarios</t>
  </si>
  <si>
    <t>E4.2: End-to-end system-test report</t>
  </si>
  <si>
    <t>E4.3, E5.1</t>
  </si>
  <si>
    <t>E4.3: Run 24-hour smoke, multi-day stability, reboot, provisioning, sleep and backlog tests
E5.1: Interrupt power during storage writes, migration, OTA switch, trial boot and provisioning</t>
  </si>
  <si>
    <t>E4.3: Long-duration report and stability metrics
E5.1: Power-loss test report</t>
  </si>
  <si>
    <t>E5.2: Inject network, DNS, TLS, authentication, LoRaWAN and cloud server failures</t>
  </si>
  <si>
    <t>E5.2: Communication fault-injection report</t>
  </si>
  <si>
    <t>E5.3: Test low/fragmented heap, full queues/filesystem, rapid events, task stalls and deadlocks</t>
  </si>
  <si>
    <t>E5.3: Resource/watchdog fault report</t>
  </si>
  <si>
    <t>E6.1, E6.2</t>
  </si>
  <si>
    <t>E6.1: Measure heap, fragmentation, internal/DMA memory, stacks, CPU load and idle margin
E6.2: Verify image sizes, filesystem reserve, boot/join/control/OTA/recovery timing</t>
  </si>
  <si>
    <t>E6.1: Memory and CPU qualification report
E6.2: Flash and timing qualification report</t>
  </si>
  <si>
    <t>E7.1, E7.2</t>
  </si>
  <si>
    <t>E7.1: Verify unsigned/modified/wrong-product/wrong-hardware/old-version image rejection and rollback
E7.2: Verify certificates, hostname, auth failures, debug restrictions and recovery authorization</t>
  </si>
  <si>
    <t>E7.1: Firmware and storage security-validation report
E7.2: Communication/interface security report</t>
  </si>
  <si>
    <t>E.G1: Close critical/high defects, freeze release candidate and approve Cluster E gate</t>
  </si>
  <si>
    <t>E.G1: Release-candidate approval, reproducible build and residual-risk record</t>
  </si>
  <si>
    <t>G-E: All requirements have evidence and critical/high defects are closed or accepted</t>
  </si>
  <si>
    <t>F1.1: Implement manufacturing firmware covering flash, RAM, GPIO, UI, buses, radio, wireless, ADC and identity</t>
  </si>
  <si>
    <t>F1.1: Manufacturing-test application and coverage matrix</t>
  </si>
  <si>
    <t>F1.2: Develop station software, fixture control, programming and result capture</t>
  </si>
  <si>
    <t>F1.2: Manufacturing station software and fixture test</t>
  </si>
  <si>
    <t>F1.3, F2.1</t>
  </si>
  <si>
    <t>F1.3: Define traceability record, retest, repair and fail containment
F2.1: Implement controlled identity, certificate and security provisioning sequence</t>
  </si>
  <si>
    <t>F1.3: Manufacturing record schema and retest procedure
F2.1: Provisioning workflow and audit record</t>
  </si>
  <si>
    <t>F2.2, F2.3</t>
  </si>
  <si>
    <t>F2.2: Implement eFuse programming with preconditions, readback and failure recovery
F2.3: Reboot and verify secure boot, flash encryption and final production state</t>
  </si>
  <si>
    <t>F2.2: eFuse script and irreversible-operation checklist
F2.3: Post-provisioning security-state report</t>
  </si>
  <si>
    <t>F3.1, F3.2</t>
  </si>
  <si>
    <t>F3.1: Package application, recovery, bootloader, partitions, OTA/factory images, ELF, MAP and checksums
F3.2: Create manifest, SBOM, release notes, dependency lock and retention archive</t>
  </si>
  <si>
    <t>F3.1: Signed release package
F3.2: Release manifest, SBOM, notes and archived symbols</t>
  </si>
  <si>
    <t>F4.1: Run pilot batch using final board, fixture, provisioning, security and package process</t>
  </si>
  <si>
    <t>F4.1: Pilot production report</t>
  </si>
  <si>
    <t>F4.2: Monitor yield, RF, boot, OTA, battery, reset and cloud behavior</t>
  </si>
  <si>
    <t>F4.2: Yield and field-trial metrics</t>
  </si>
  <si>
    <t>F4.3, F.G1</t>
  </si>
  <si>
    <t>F4.3: Conduct go/no-go review for defects, yield, security, rollback and support readiness
F.G1: Tag and release production firmware; archive complete evidence package</t>
  </si>
  <si>
    <t>F4.3: Production-release approval record
F.G1: Production tag, signed artifacts and permanent evidence archive</t>
  </si>
  <si>
    <t>G-F: Manufacturing, support and rollback readiness are accepted
G-F: Approved production release is reproducible and recoverable</t>
  </si>
  <si>
    <t>G1.1, G2.1, G3.1</t>
  </si>
  <si>
    <t>G1.1: Deploy health dashboard for versions, resets, boot loops, OTA, connectivity, heap, storage and watchdogs
G2.1: Define severity, incident intake, triage, core-dump and root-cause workflow
G3.1: Roll out to internal and engineering fleets; monitor stop criteria</t>
  </si>
  <si>
    <t>G1.1: Device-health dashboard and metric definitions
G2.1: Incident-management procedure and templates
G3.1: Internal rollout report</t>
  </si>
  <si>
    <t>G1.2, G2.2, G3.2</t>
  </si>
  <si>
    <t>G1.2: Set alert thresholds and publish support diagnostic procedure
G2.2: Rehearse hotfix, regression, rollback and controlled release workflow
G3.2: Roll out to pilot customers and small production percentage</t>
  </si>
  <si>
    <t>G1.2: Alert rules and support guide</t>
  </si>
  <si>
    <t>G2.2, G3.2</t>
  </si>
  <si>
    <t>G2.2: Rehearse hotfix, regression, rollback and controlled release workflow
G3.2: Roll out to pilot customers and small production percentage</t>
  </si>
  <si>
    <t>G2.2: Hotfix rehearsal report
G3.2: Pilot rollout dashboard and decision record</t>
  </si>
  <si>
    <t>G2.3, G3.3</t>
  </si>
  <si>
    <t>G2.3: Operate incident review and corrective-action loop during stabilization
G3.3: Expand staged rollout to larger percentages and full fleet</t>
  </si>
  <si>
    <t>G3.3: Full rollout report</t>
  </si>
  <si>
    <t>G2.3, G4.1</t>
  </si>
  <si>
    <t>G2.3: Operate incident review and corrective-action loop during stabilization
G4.1: Assess framework/dependency security fixes, support dates, APIs, bootloader, size and radio impact</t>
  </si>
  <si>
    <t>G4.1: Upgrade-impact report</t>
  </si>
  <si>
    <t>G2.3, G4.2</t>
  </si>
  <si>
    <t>G2.3: Operate incident review and corrective-action loop during stabilization
G4.2: Run clean build, storage, OTA, rollback, power-loss, security, performance and endurance regression</t>
  </si>
  <si>
    <t>G4.2: Dependency-upgrade regression report</t>
  </si>
  <si>
    <t>G2.3, G5.1</t>
  </si>
  <si>
    <t>G2.3: Operate incident review and corrective-action loop during stabilization
G5.1: Define hardware compatibility matrix and update board revision detection/BSP</t>
  </si>
  <si>
    <t>G5.1: Hardware compatibility matrix and BSP update</t>
  </si>
  <si>
    <t>G2.3, G5.2</t>
  </si>
  <si>
    <t>G2.3: Operate incident review and corrective-action loop during stabilization
G5.2: Test peripherals, boot, RF and OTA across supported revisions; reject incompatible images</t>
  </si>
  <si>
    <t>G5.2: Hardware-revision qualification report</t>
  </si>
  <si>
    <t>G2.3, G6.1</t>
  </si>
  <si>
    <t>G2.3: Operate incident review and corrective-action loop during stabilization
G6.1: Define final firmware, signing-key, cloud shutdown, credential revocation and retention policy</t>
  </si>
  <si>
    <t>G6.1: End-of-life policy</t>
  </si>
  <si>
    <t>G2.3, G6.2</t>
  </si>
  <si>
    <t>G2.3: Operate incident review and corrective-action loop during stabilization
G6.2: Archive final firmware/tools/records and complete product-closure review</t>
  </si>
  <si>
    <t>G2.3: Incident log, RCA and corrective-action records
G6.2: Product-closure package and approval</t>
  </si>
  <si>
    <t>G-G: Final artifacts and responsibilities are formally closed</t>
  </si>
  <si>
    <t>Source Mapping and Workbook Guidance</t>
  </si>
  <si>
    <t>Item</t>
  </si>
  <si>
    <t>Detail</t>
  </si>
  <si>
    <t>Source</t>
  </si>
  <si>
    <t>Uploaded ESP32-S3 Production Firmware Development Lifecycle markdown</t>
  </si>
  <si>
    <t>Lifecycle hierarchy</t>
  </si>
  <si>
    <t>Program → Cluster → Phase → Sub-phase → Work package → Deliverable → Exit gate</t>
  </si>
  <si>
    <t>Owner model</t>
  </si>
  <si>
    <t>Every task is assigned to Me; no additional resource assumptions</t>
  </si>
  <si>
    <t>Schedule baseline</t>
  </si>
  <si>
    <t>Week 1 starts 2026-07-13; production release Week 78; lifecycle baseline ends Week 90</t>
  </si>
  <si>
    <t>Progress basis</t>
  </si>
  <si>
    <t>Actual Completion is evidence-based and initialized at 0%</t>
  </si>
  <si>
    <t>Weighting</t>
  </si>
  <si>
    <t>Task weight is normalized from duration × complexity (Effort Points)</t>
  </si>
  <si>
    <t>Dependency notation</t>
  </si>
  <si>
    <t>Comma-separated predecessor WBS IDs; primarily finish-to-start</t>
  </si>
  <si>
    <t>Gate Summary</t>
  </si>
  <si>
    <t>Required Result</t>
  </si>
  <si>
    <t>Evidence Row</t>
  </si>
  <si>
    <t>Approved requirements and feasibility</t>
  </si>
  <si>
    <t>Reproducible toolchain, repository and CI</t>
  </si>
  <si>
    <t>Stable reusable platform baseline</t>
  </si>
  <si>
    <t>Complete integrated product features</t>
  </si>
  <si>
    <t>Qualified release candidate</t>
  </si>
  <si>
    <t>Controlled production release</t>
  </si>
  <si>
    <t>F4.3 / F.G1</t>
  </si>
  <si>
    <t>Managed lifecycle and closure baseline</t>
  </si>
  <si>
    <t>Definition of Done Applied to Every Work Package</t>
  </si>
  <si>
    <t>Requirements/design are identified and documented.</t>
  </si>
  <si>
    <t>Interfaces, ownership and error behavior are explicit.</t>
  </si>
  <si>
    <t>Implementation is reviewed and CI passes.</t>
  </si>
  <si>
    <t>Normal, boundary and failure behavior are tested.</t>
  </si>
  <si>
    <t>Resource and security impact are reviewed.</t>
  </si>
  <si>
    <t>Evidence is linked or stored and no critical defect remains.</t>
  </si>
  <si>
    <t>Parthasarathy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</si>
</sst>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5"/>
      <color rgb="FFFFFFFF"/>
      <name val="Carlito"/>
    </font>
    <font>
      <i/>
      <sz val="11"/>
      <color rgb="FF1F1F1F"/>
      <name val="Carlito"/>
    </font>
    <font>
      <b/>
      <sz val="18"/>
      <color rgb="FFFFFFFF"/>
      <name val="Carlito"/>
    </font>
    <font>
      <b/>
      <sz val="14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F7A8C"/>
      </patternFill>
    </fill>
    <fill>
      <patternFill patternType="solid">
        <fgColor rgb="FFD9EAF7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164" fontId="7" fillId="5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165" fontId="7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10" fontId="2" fillId="3" borderId="0" xfId="0" applyNumberFormat="1" applyFont="1" applyFill="1" applyAlignment="1">
      <alignment horizontal="center" vertical="center"/>
    </xf>
    <xf numFmtId="10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6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4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45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b/>
        <color rgb="FF1F1F1F"/>
      </font>
      <fill>
        <patternFill patternType="solid">
          <bgColor rgb="FFFFC000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Planned %</c:v>
          </c:tx>
          <c:invertIfNegative val="1"/>
          <c:cat>
            <c:strRef>
              <c:f>Dashboard!$A$12:$A$18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Dashboard!$E$12:$E$18</c:f>
              <c:numCache>
                <c:formatCode>0.0%</c:formatCode>
                <c:ptCount val="7"/>
                <c:pt idx="0">
                  <c:v>0.13157894736842107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3-4426-A214-60FB56046A08}"/>
            </c:ext>
          </c:extLst>
        </c:ser>
        <c:ser>
          <c:idx val="1"/>
          <c:order val="1"/>
          <c:tx>
            <c:v>Actual %</c:v>
          </c:tx>
          <c:invertIfNegative val="1"/>
          <c:cat>
            <c:strRef>
              <c:f>Dashboard!$A$12:$A$18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Dashboard!$F$12:$F$18</c:f>
              <c:numCache>
                <c:formatCode>0.0%</c:formatCode>
                <c:ptCount val="7"/>
                <c:pt idx="0">
                  <c:v>1</c:v>
                </c:pt>
                <c:pt idx="1">
                  <c:v>0.37037037037037041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3-4426-A214-60FB5604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Cluster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Completion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luster_Summary_Table" displayName="Cluster_Summary_Table" ref="A11:K18">
  <tableColumns count="11">
    <tableColumn id="1" xr3:uid="{00000000-0010-0000-0000-000001000000}" name="Cluster"/>
    <tableColumn id="2" xr3:uid="{00000000-0010-0000-0000-000002000000}" name="Name"/>
    <tableColumn id="3" xr3:uid="{00000000-0010-0000-0000-000003000000}" name="Start"/>
    <tableColumn id="4" xr3:uid="{00000000-0010-0000-0000-000004000000}" name="End"/>
    <tableColumn id="5" xr3:uid="{00000000-0010-0000-0000-000005000000}" name="Planned %"/>
    <tableColumn id="6" xr3:uid="{00000000-0010-0000-0000-000006000000}" name="Actual %"/>
    <tableColumn id="7" xr3:uid="{00000000-0010-0000-0000-000007000000}" name="Variance"/>
    <tableColumn id="8" xr3:uid="{00000000-0010-0000-0000-000008000000}" name="Tasks"/>
    <tableColumn id="9" xr3:uid="{00000000-0010-0000-0000-000009000000}" name="Complete"/>
    <tableColumn id="10" xr3:uid="{00000000-0010-0000-0000-00000A000000}" name="Late"/>
    <tableColumn id="11" xr3:uid="{00000000-0010-0000-0000-00000B000000}" name="G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WBS_Table" displayName="WBS_Table" ref="A4:X137" headerRowDxfId="44" dataDxfId="43" totalsRowDxfId="42">
  <tableColumns count="24">
    <tableColumn id="1" xr3:uid="{00000000-0010-0000-0100-000001000000}" name="WBS ID" dataDxfId="41"/>
    <tableColumn id="2" xr3:uid="{00000000-0010-0000-0100-000002000000}" name="Cluster" dataDxfId="40"/>
    <tableColumn id="3" xr3:uid="{00000000-0010-0000-0100-000003000000}" name="Cluster Name" dataDxfId="39"/>
    <tableColumn id="4" xr3:uid="{00000000-0010-0000-0100-000004000000}" name="Phase" dataDxfId="38"/>
    <tableColumn id="5" xr3:uid="{00000000-0010-0000-0100-000005000000}" name="Phase Name" dataDxfId="37"/>
    <tableColumn id="6" xr3:uid="{00000000-0010-0000-0100-000006000000}" name="Weekly Activity / Work Package" dataDxfId="36"/>
    <tableColumn id="7" xr3:uid="{00000000-0010-0000-0100-000007000000}" name="Dependencies" dataDxfId="35"/>
    <tableColumn id="8" xr3:uid="{00000000-0010-0000-0100-000008000000}" name="Start Week" dataDxfId="34"/>
    <tableColumn id="9" xr3:uid="{00000000-0010-0000-0100-000009000000}" name="End Week" dataDxfId="33"/>
    <tableColumn id="10" xr3:uid="{00000000-0010-0000-0100-00000A000000}" name="Duration (wks)" dataDxfId="32"/>
    <tableColumn id="11" xr3:uid="{00000000-0010-0000-0100-00000B000000}" name="Effort Points" dataDxfId="31"/>
    <tableColumn id="12" xr3:uid="{00000000-0010-0000-0100-00000C000000}" name="Owner" dataDxfId="30"/>
    <tableColumn id="13" xr3:uid="{00000000-0010-0000-0100-00000D000000}" name="Evidence / Deliverable" dataDxfId="29"/>
    <tableColumn id="14" xr3:uid="{00000000-0010-0000-0100-00000E000000}" name="Completion Criteria" dataDxfId="28"/>
    <tableColumn id="15" xr3:uid="{00000000-0010-0000-0100-00000F000000}" name="Gate" dataDxfId="27"/>
    <tableColumn id="16" xr3:uid="{00000000-0010-0000-0100-000010000000}" name="Planned Progress %" dataDxfId="26"/>
    <tableColumn id="17" xr3:uid="{00000000-0010-0000-0100-000011000000}" name="Actual Completion %" dataDxfId="25"/>
    <tableColumn id="18" xr3:uid="{00000000-0010-0000-0100-000012000000}" name="Weight %" dataDxfId="24"/>
    <tableColumn id="19" xr3:uid="{00000000-0010-0000-0100-000013000000}" name="Planned Contribution %" dataDxfId="23"/>
    <tableColumn id="20" xr3:uid="{00000000-0010-0000-0100-000014000000}" name="Actual Contribution %" dataDxfId="22"/>
    <tableColumn id="21" xr3:uid="{00000000-0010-0000-0100-000015000000}" name="Status" dataDxfId="21"/>
    <tableColumn id="22" xr3:uid="{00000000-0010-0000-0100-000016000000}" name="Planned Start" dataDxfId="20"/>
    <tableColumn id="23" xr3:uid="{00000000-0010-0000-0100-000017000000}" name="Planned Finish" dataDxfId="19"/>
    <tableColumn id="24" xr3:uid="{00000000-0010-0000-0100-000018000000}" name="Notes / Evidence Link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hase_Summary_Table" displayName="Phase_Summary_Table" ref="A3:L43">
  <tableColumns count="12">
    <tableColumn id="1" xr3:uid="{00000000-0010-0000-0200-000001000000}" name="Phase"/>
    <tableColumn id="2" xr3:uid="{00000000-0010-0000-0200-000002000000}" name="Cluster"/>
    <tableColumn id="3" xr3:uid="{00000000-0010-0000-0200-000003000000}" name="Phase Name"/>
    <tableColumn id="4" xr3:uid="{00000000-0010-0000-0200-000004000000}" name="Start Week"/>
    <tableColumn id="5" xr3:uid="{00000000-0010-0000-0200-000005000000}" name="End Week"/>
    <tableColumn id="6" xr3:uid="{00000000-0010-0000-0200-000006000000}" name="Owner"/>
    <tableColumn id="7" xr3:uid="{00000000-0010-0000-0200-000007000000}" name="Planned %"/>
    <tableColumn id="8" xr3:uid="{00000000-0010-0000-0200-000008000000}" name="Actual %"/>
    <tableColumn id="9" xr3:uid="{00000000-0010-0000-0200-000009000000}" name="Variance"/>
    <tableColumn id="10" xr3:uid="{00000000-0010-0000-0200-00000A000000}" name="Work Packages"/>
    <tableColumn id="11" xr3:uid="{00000000-0010-0000-0200-00000B000000}" name="Complete"/>
    <tableColumn id="12" xr3:uid="{00000000-0010-0000-0200-00000C000000}" name="Phase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Weekly_Plan_Table" displayName="Weekly_Plan_Table" ref="A3:I93" headerRowDxfId="17" dataDxfId="16" totalsRowDxfId="15">
  <tableColumns count="9">
    <tableColumn id="1" xr3:uid="{00000000-0010-0000-0300-000001000000}" name="Week" dataDxfId="14"/>
    <tableColumn id="2" xr3:uid="{00000000-0010-0000-0300-000002000000}" name="Week Start" dataDxfId="13"/>
    <tableColumn id="3" xr3:uid="{00000000-0010-0000-0300-000003000000}" name="Week Finish" dataDxfId="12"/>
    <tableColumn id="4" xr3:uid="{00000000-0010-0000-0300-000004000000}" name="Active WBS IDs" dataDxfId="11"/>
    <tableColumn id="5" xr3:uid="{00000000-0010-0000-0300-000005000000}" name="Weekly Focus" dataDxfId="10"/>
    <tableColumn id="6" xr3:uid="{00000000-0010-0000-0300-000006000000}" name="Evidence Due" dataDxfId="9"/>
    <tableColumn id="7" xr3:uid="{00000000-0010-0000-0300-000007000000}" name="Gate / Milestone" dataDxfId="8"/>
    <tableColumn id="8" xr3:uid="{00000000-0010-0000-0300-000008000000}" name="Planned Cumulative %" dataDxfId="7"/>
    <tableColumn id="9" xr3:uid="{00000000-0010-0000-0300-000009000000}" name="Actual Snapsho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12" sqref="A12"/>
    </sheetView>
  </sheetViews>
  <sheetFormatPr defaultRowHeight="14.25"/>
  <cols>
    <col min="1" max="1" width="10" customWidth="1"/>
    <col min="2" max="2" width="34" customWidth="1"/>
    <col min="3" max="4" width="10" customWidth="1"/>
    <col min="5" max="7" width="13" customWidth="1"/>
    <col min="8" max="10" width="11" customWidth="1"/>
    <col min="11" max="11" width="10" customWidth="1"/>
  </cols>
  <sheetData>
    <row r="1" spans="1:11" ht="33.950000000000003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30" customHeight="1">
      <c r="A3" s="9" t="s">
        <v>1</v>
      </c>
      <c r="B3" s="10">
        <f>Control!B6</f>
        <v>46216</v>
      </c>
      <c r="D3" s="9" t="s">
        <v>2</v>
      </c>
      <c r="E3" s="11">
        <f>Control!B7</f>
        <v>1</v>
      </c>
      <c r="G3" s="9" t="s">
        <v>3</v>
      </c>
      <c r="H3" s="11">
        <f>Control!B8</f>
        <v>78</v>
      </c>
    </row>
    <row r="4" spans="1:11" ht="30" customHeight="1"/>
    <row r="5" spans="1:11" ht="30" customHeight="1">
      <c r="A5" s="9" t="s">
        <v>4</v>
      </c>
      <c r="B5" s="12">
        <f>Control!B10</f>
        <v>1.08991825613079E-2</v>
      </c>
      <c r="D5" s="9" t="s">
        <v>5</v>
      </c>
      <c r="E5" s="12">
        <f>Control!B11</f>
        <v>0.11553133514986372</v>
      </c>
      <c r="G5" s="9" t="s">
        <v>6</v>
      </c>
      <c r="H5" s="12">
        <f>Control!B12</f>
        <v>0.10463215258855582</v>
      </c>
    </row>
    <row r="6" spans="1:11" ht="30" customHeight="1"/>
    <row r="7" spans="1:11" ht="30" customHeight="1">
      <c r="A7" s="9" t="s">
        <v>7</v>
      </c>
      <c r="B7" s="11">
        <f>Control!B13</f>
        <v>0</v>
      </c>
      <c r="D7" s="9" t="s">
        <v>8</v>
      </c>
      <c r="E7" s="11">
        <f>Control!B14</f>
        <v>15</v>
      </c>
      <c r="G7" s="9" t="s">
        <v>9</v>
      </c>
      <c r="H7" s="11">
        <f>Control!B15</f>
        <v>133</v>
      </c>
    </row>
    <row r="11" spans="1:11" ht="15">
      <c r="A11" s="13" t="s">
        <v>10</v>
      </c>
      <c r="B11" s="13" t="s">
        <v>11</v>
      </c>
      <c r="C11" s="13" t="s">
        <v>12</v>
      </c>
      <c r="D11" s="13" t="s">
        <v>13</v>
      </c>
      <c r="E11" s="13" t="s">
        <v>14</v>
      </c>
      <c r="F11" s="13" t="s">
        <v>15</v>
      </c>
      <c r="G11" s="13" t="s">
        <v>16</v>
      </c>
      <c r="H11" s="13" t="s">
        <v>17</v>
      </c>
      <c r="I11" s="13" t="s">
        <v>18</v>
      </c>
      <c r="J11" s="13" t="s">
        <v>19</v>
      </c>
      <c r="K11" s="13" t="s">
        <v>20</v>
      </c>
    </row>
    <row r="12" spans="1:11">
      <c r="A12" s="4" t="s">
        <v>21</v>
      </c>
      <c r="B12" s="4" t="s">
        <v>22</v>
      </c>
      <c r="C12" s="4">
        <v>1</v>
      </c>
      <c r="D12" s="4">
        <v>6</v>
      </c>
      <c r="E12" s="6">
        <f>IFERROR(SUMIF(WBS!$B$5:$B$137,A12,WBS!$S$5:$S$137)/SUMIF(WBS!$B$5:$B$137,A12,WBS!$R$5:$R$137),0)</f>
        <v>0.13157894736842107</v>
      </c>
      <c r="F12" s="6">
        <f>IFERROR(SUMIF(WBS!$B$5:$B$137,A12,WBS!$T$5:$T$137)/SUMIF(WBS!$B$5:$B$137,A12,WBS!$R$5:$R$137),0)</f>
        <v>1</v>
      </c>
      <c r="G12" s="6">
        <f t="shared" ref="G12:G18" si="0">F12-E12</f>
        <v>0.86842105263157898</v>
      </c>
      <c r="H12" s="4">
        <f>COUNTIF(WBS!$B$5:$B$137,A12)</f>
        <v>10</v>
      </c>
      <c r="I12" s="4">
        <f>COUNTIFS(WBS!$B$5:$B$137,A12,WBS!$U$5:$U$137,"Complete")</f>
        <v>10</v>
      </c>
      <c r="J12" s="4">
        <f>COUNTIFS(WBS!$B$5:$B$137,A12,WBS!$U$5:$U$137,"Late")</f>
        <v>0</v>
      </c>
      <c r="K12" s="4" t="s">
        <v>23</v>
      </c>
    </row>
    <row r="13" spans="1:11">
      <c r="A13" s="4" t="s">
        <v>24</v>
      </c>
      <c r="B13" s="4" t="s">
        <v>25</v>
      </c>
      <c r="C13" s="4">
        <v>7</v>
      </c>
      <c r="D13" s="4">
        <v>12</v>
      </c>
      <c r="E13" s="6">
        <f>IFERROR(SUMIF(WBS!$B$5:$B$137,A13,WBS!$S$5:$S$137)/SUMIF(WBS!$B$5:$B$137,A13,WBS!$R$5:$R$137),0)</f>
        <v>0</v>
      </c>
      <c r="F13" s="6">
        <f>IFERROR(SUMIF(WBS!$B$5:$B$137,A13,WBS!$T$5:$T$137)/SUMIF(WBS!$B$5:$B$137,A13,WBS!$R$5:$R$137),0)</f>
        <v>0.37037037037037041</v>
      </c>
      <c r="G13" s="6">
        <f t="shared" si="0"/>
        <v>0.37037037037037041</v>
      </c>
      <c r="H13" s="4">
        <f>COUNTIF(WBS!$B$5:$B$137,A13)</f>
        <v>12</v>
      </c>
      <c r="I13" s="4">
        <f>COUNTIFS(WBS!$B$5:$B$137,A13,WBS!$U$5:$U$137,"Complete")</f>
        <v>5</v>
      </c>
      <c r="J13" s="4">
        <f>COUNTIFS(WBS!$B$5:$B$137,A13,WBS!$U$5:$U$137,"Late")</f>
        <v>0</v>
      </c>
      <c r="K13" s="4" t="s">
        <v>26</v>
      </c>
    </row>
    <row r="14" spans="1:11">
      <c r="A14" s="4" t="s">
        <v>27</v>
      </c>
      <c r="B14" s="4" t="s">
        <v>28</v>
      </c>
      <c r="C14" s="4">
        <v>13</v>
      </c>
      <c r="D14" s="4">
        <v>34</v>
      </c>
      <c r="E14" s="6">
        <f>IFERROR(SUMIF(WBS!$B$5:$B$137,A14,WBS!$S$5:$S$137)/SUMIF(WBS!$B$5:$B$137,A14,WBS!$R$5:$R$137),0)</f>
        <v>0</v>
      </c>
      <c r="F14" s="6">
        <f>IFERROR(SUMIF(WBS!$B$5:$B$137,A14,WBS!$T$5:$T$137)/SUMIF(WBS!$B$5:$B$137,A14,WBS!$R$5:$R$137),0)</f>
        <v>0</v>
      </c>
      <c r="G14" s="6">
        <f t="shared" si="0"/>
        <v>0</v>
      </c>
      <c r="H14" s="4">
        <f>COUNTIF(WBS!$B$5:$B$137,A14)</f>
        <v>32</v>
      </c>
      <c r="I14" s="4">
        <f>COUNTIFS(WBS!$B$5:$B$137,A14,WBS!$U$5:$U$137,"Complete")</f>
        <v>0</v>
      </c>
      <c r="J14" s="4">
        <f>COUNTIFS(WBS!$B$5:$B$137,A14,WBS!$U$5:$U$137,"Late")</f>
        <v>0</v>
      </c>
      <c r="K14" s="4" t="s">
        <v>29</v>
      </c>
    </row>
    <row r="15" spans="1:11">
      <c r="A15" s="4" t="s">
        <v>30</v>
      </c>
      <c r="B15" s="4" t="s">
        <v>31</v>
      </c>
      <c r="C15" s="4">
        <v>35</v>
      </c>
      <c r="D15" s="4">
        <v>56</v>
      </c>
      <c r="E15" s="6">
        <f>IFERROR(SUMIF(WBS!$B$5:$B$137,A15,WBS!$S$5:$S$137)/SUMIF(WBS!$B$5:$B$137,A15,WBS!$R$5:$R$137),0)</f>
        <v>0</v>
      </c>
      <c r="F15" s="6">
        <f>IFERROR(SUMIF(WBS!$B$5:$B$137,A15,WBS!$T$5:$T$137)/SUMIF(WBS!$B$5:$B$137,A15,WBS!$R$5:$R$137),0)</f>
        <v>0</v>
      </c>
      <c r="G15" s="6">
        <f t="shared" si="0"/>
        <v>0</v>
      </c>
      <c r="H15" s="4">
        <f>COUNTIF(WBS!$B$5:$B$137,A15)</f>
        <v>33</v>
      </c>
      <c r="I15" s="4">
        <f>COUNTIFS(WBS!$B$5:$B$137,A15,WBS!$U$5:$U$137,"Complete")</f>
        <v>0</v>
      </c>
      <c r="J15" s="4">
        <f>COUNTIFS(WBS!$B$5:$B$137,A15,WBS!$U$5:$U$137,"Late")</f>
        <v>0</v>
      </c>
      <c r="K15" s="4" t="s">
        <v>32</v>
      </c>
    </row>
    <row r="16" spans="1:11">
      <c r="A16" s="4" t="s">
        <v>33</v>
      </c>
      <c r="B16" s="4" t="s">
        <v>34</v>
      </c>
      <c r="C16" s="4">
        <v>57</v>
      </c>
      <c r="D16" s="4">
        <v>70</v>
      </c>
      <c r="E16" s="6">
        <f>IFERROR(SUMIF(WBS!$B$5:$B$137,A16,WBS!$S$5:$S$137)/SUMIF(WBS!$B$5:$B$137,A16,WBS!$R$5:$R$137),0)</f>
        <v>0</v>
      </c>
      <c r="F16" s="6">
        <f>IFERROR(SUMIF(WBS!$B$5:$B$137,A16,WBS!$T$5:$T$137)/SUMIF(WBS!$B$5:$B$137,A16,WBS!$R$5:$R$137),0)</f>
        <v>0</v>
      </c>
      <c r="G16" s="6">
        <f t="shared" si="0"/>
        <v>0</v>
      </c>
      <c r="H16" s="4">
        <f>COUNTIF(WBS!$B$5:$B$137,A16)</f>
        <v>20</v>
      </c>
      <c r="I16" s="4">
        <f>COUNTIFS(WBS!$B$5:$B$137,A16,WBS!$U$5:$U$137,"Complete")</f>
        <v>0</v>
      </c>
      <c r="J16" s="4">
        <f>COUNTIFS(WBS!$B$5:$B$137,A16,WBS!$U$5:$U$137,"Late")</f>
        <v>0</v>
      </c>
      <c r="K16" s="4" t="s">
        <v>35</v>
      </c>
    </row>
    <row r="17" spans="1:11" ht="28.5">
      <c r="A17" s="4" t="s">
        <v>36</v>
      </c>
      <c r="B17" s="4" t="s">
        <v>37</v>
      </c>
      <c r="C17" s="4">
        <v>71</v>
      </c>
      <c r="D17" s="4">
        <v>78</v>
      </c>
      <c r="E17" s="6">
        <f>IFERROR(SUMIF(WBS!$B$5:$B$137,A17,WBS!$S$5:$S$137)/SUMIF(WBS!$B$5:$B$137,A17,WBS!$R$5:$R$137),0)</f>
        <v>0</v>
      </c>
      <c r="F17" s="6">
        <f>IFERROR(SUMIF(WBS!$B$5:$B$137,A17,WBS!$T$5:$T$137)/SUMIF(WBS!$B$5:$B$137,A17,WBS!$R$5:$R$137),0)</f>
        <v>0</v>
      </c>
      <c r="G17" s="6">
        <f t="shared" si="0"/>
        <v>0</v>
      </c>
      <c r="H17" s="4">
        <f>COUNTIF(WBS!$B$5:$B$137,A17)</f>
        <v>12</v>
      </c>
      <c r="I17" s="4">
        <f>COUNTIFS(WBS!$B$5:$B$137,A17,WBS!$U$5:$U$137,"Complete")</f>
        <v>0</v>
      </c>
      <c r="J17" s="4">
        <f>COUNTIFS(WBS!$B$5:$B$137,A17,WBS!$U$5:$U$137,"Late")</f>
        <v>0</v>
      </c>
      <c r="K17" s="4" t="s">
        <v>38</v>
      </c>
    </row>
    <row r="18" spans="1:11" ht="28.5">
      <c r="A18" s="4" t="s">
        <v>39</v>
      </c>
      <c r="B18" s="4" t="s">
        <v>40</v>
      </c>
      <c r="C18" s="4">
        <v>79</v>
      </c>
      <c r="D18" s="4">
        <v>90</v>
      </c>
      <c r="E18" s="6">
        <f>IFERROR(SUMIF(WBS!$B$5:$B$137,A18,WBS!$S$5:$S$137)/SUMIF(WBS!$B$5:$B$137,A18,WBS!$R$5:$R$137),0)</f>
        <v>0</v>
      </c>
      <c r="F18" s="6">
        <f>IFERROR(SUMIF(WBS!$B$5:$B$137,A18,WBS!$T$5:$T$137)/SUMIF(WBS!$B$5:$B$137,A18,WBS!$R$5:$R$137),0)</f>
        <v>0</v>
      </c>
      <c r="G18" s="6">
        <f t="shared" si="0"/>
        <v>0</v>
      </c>
      <c r="H18" s="4">
        <f>COUNTIF(WBS!$B$5:$B$137,A18)</f>
        <v>14</v>
      </c>
      <c r="I18" s="4">
        <f>COUNTIFS(WBS!$B$5:$B$137,A18,WBS!$U$5:$U$137,"Complete")</f>
        <v>0</v>
      </c>
      <c r="J18" s="4">
        <f>COUNTIFS(WBS!$B$5:$B$137,A18,WBS!$U$5:$U$137,"Late")</f>
        <v>0</v>
      </c>
      <c r="K18" s="4" t="s">
        <v>41</v>
      </c>
    </row>
    <row r="21" spans="1:11" ht="15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>
      <c r="A22" s="20" t="s">
        <v>43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30" customHeight="1">
      <c r="A23" s="20" t="s">
        <v>44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30" customHeight="1">
      <c r="A24" s="20" t="s">
        <v>45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30" customHeight="1">
      <c r="A25" s="20" t="s">
        <v>46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</sheetData>
  <mergeCells count="6">
    <mergeCell ref="A25:K25"/>
    <mergeCell ref="A1:K1"/>
    <mergeCell ref="A21:K21"/>
    <mergeCell ref="A22:K22"/>
    <mergeCell ref="A23:K23"/>
    <mergeCell ref="A24:K24"/>
  </mergeCells>
  <conditionalFormatting sqref="F12:F18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12:G18">
    <cfRule type="cellIs" dxfId="5" priority="2" operator="less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F12:F18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5" sqref="B5"/>
    </sheetView>
  </sheetViews>
  <sheetFormatPr defaultRowHeight="14.25"/>
  <cols>
    <col min="1" max="1" width="30" customWidth="1"/>
    <col min="2" max="2" width="28" customWidth="1"/>
    <col min="3" max="3" width="48" customWidth="1"/>
    <col min="4" max="4" width="14" customWidth="1"/>
  </cols>
  <sheetData>
    <row r="1" spans="1:4" ht="30" customHeight="1">
      <c r="A1" s="24" t="s">
        <v>47</v>
      </c>
      <c r="B1" s="24"/>
      <c r="C1" s="24"/>
      <c r="D1" s="24"/>
    </row>
    <row r="3" spans="1:4" ht="15">
      <c r="A3" s="2" t="s">
        <v>48</v>
      </c>
      <c r="B3" s="2" t="s">
        <v>49</v>
      </c>
      <c r="C3" s="2" t="s">
        <v>50</v>
      </c>
      <c r="D3" s="2" t="s">
        <v>51</v>
      </c>
    </row>
    <row r="4" spans="1:4" ht="29.25">
      <c r="A4" s="3" t="s">
        <v>52</v>
      </c>
      <c r="B4" s="4" t="s">
        <v>53</v>
      </c>
      <c r="C4" s="4" t="s">
        <v>54</v>
      </c>
      <c r="D4" s="4" t="s">
        <v>55</v>
      </c>
    </row>
    <row r="5" spans="1:4" ht="15">
      <c r="A5" s="3" t="s">
        <v>56</v>
      </c>
      <c r="B5" s="4" t="s">
        <v>1047</v>
      </c>
      <c r="C5" s="4" t="s">
        <v>58</v>
      </c>
      <c r="D5" s="4" t="s">
        <v>55</v>
      </c>
    </row>
    <row r="6" spans="1:4" ht="15">
      <c r="A6" s="3" t="s">
        <v>1</v>
      </c>
      <c r="B6" s="5">
        <v>46216</v>
      </c>
      <c r="C6" s="4" t="s">
        <v>59</v>
      </c>
      <c r="D6" s="4" t="s">
        <v>55</v>
      </c>
    </row>
    <row r="7" spans="1:4" ht="29.25">
      <c r="A7" s="3" t="s">
        <v>2</v>
      </c>
      <c r="B7" s="4">
        <v>1</v>
      </c>
      <c r="C7" s="4" t="s">
        <v>60</v>
      </c>
      <c r="D7" s="4" t="s">
        <v>55</v>
      </c>
    </row>
    <row r="8" spans="1:4" ht="15">
      <c r="A8" s="3" t="s">
        <v>3</v>
      </c>
      <c r="B8" s="4">
        <v>78</v>
      </c>
      <c r="C8" s="4" t="s">
        <v>61</v>
      </c>
      <c r="D8" s="4" t="s">
        <v>62</v>
      </c>
    </row>
    <row r="9" spans="1:4" ht="15">
      <c r="A9" s="3" t="s">
        <v>63</v>
      </c>
      <c r="B9" s="4">
        <v>90</v>
      </c>
      <c r="C9" s="4" t="s">
        <v>64</v>
      </c>
      <c r="D9" s="4" t="s">
        <v>62</v>
      </c>
    </row>
    <row r="10" spans="1:4" ht="15">
      <c r="A10" s="3" t="s">
        <v>65</v>
      </c>
      <c r="B10" s="6">
        <f>SUM(WBS!S5:S137)</f>
        <v>1.08991825613079E-2</v>
      </c>
      <c r="C10" s="4" t="s">
        <v>66</v>
      </c>
      <c r="D10" s="4" t="s">
        <v>67</v>
      </c>
    </row>
    <row r="11" spans="1:4" ht="15">
      <c r="A11" s="3" t="s">
        <v>68</v>
      </c>
      <c r="B11" s="6">
        <f>SUM(WBS!T5:T137)</f>
        <v>0.11553133514986372</v>
      </c>
      <c r="C11" s="4" t="s">
        <v>69</v>
      </c>
      <c r="D11" s="4" t="s">
        <v>67</v>
      </c>
    </row>
    <row r="12" spans="1:4" ht="15">
      <c r="A12" s="3" t="s">
        <v>6</v>
      </c>
      <c r="B12" s="6">
        <f>B11-B10</f>
        <v>0.10463215258855582</v>
      </c>
      <c r="C12" s="4" t="s">
        <v>70</v>
      </c>
      <c r="D12" s="4" t="s">
        <v>67</v>
      </c>
    </row>
    <row r="13" spans="1:4" ht="29.25">
      <c r="A13" s="3" t="s">
        <v>7</v>
      </c>
      <c r="B13" s="4">
        <f>COUNTIF(WBS!U5:U137,"Late")</f>
        <v>0</v>
      </c>
      <c r="C13" s="4" t="s">
        <v>71</v>
      </c>
      <c r="D13" s="4" t="s">
        <v>67</v>
      </c>
    </row>
    <row r="14" spans="1:4" ht="15">
      <c r="A14" s="3" t="s">
        <v>8</v>
      </c>
      <c r="B14" s="4">
        <f>COUNTIF(WBS!U5:U137,"Complete")</f>
        <v>15</v>
      </c>
      <c r="C14" s="4" t="s">
        <v>72</v>
      </c>
      <c r="D14" s="4" t="s">
        <v>67</v>
      </c>
    </row>
    <row r="15" spans="1:4" ht="15">
      <c r="A15" s="3" t="s">
        <v>9</v>
      </c>
      <c r="B15" s="4">
        <f>COUNTA(WBS!A5:A137)</f>
        <v>133</v>
      </c>
      <c r="C15" s="4" t="s">
        <v>73</v>
      </c>
      <c r="D15" s="4" t="s">
        <v>67</v>
      </c>
    </row>
    <row r="17" spans="1:4" ht="15">
      <c r="A17" s="7" t="s">
        <v>74</v>
      </c>
      <c r="B17" s="25"/>
      <c r="C17" s="25"/>
      <c r="D17" s="25"/>
    </row>
    <row r="18" spans="1:4">
      <c r="A18" s="4" t="s">
        <v>75</v>
      </c>
      <c r="B18" s="23" t="s">
        <v>76</v>
      </c>
      <c r="C18" s="23"/>
      <c r="D18" s="23"/>
    </row>
    <row r="19" spans="1:4">
      <c r="A19" s="4" t="s">
        <v>77</v>
      </c>
      <c r="B19" s="23" t="s">
        <v>78</v>
      </c>
      <c r="C19" s="23"/>
      <c r="D19" s="23"/>
    </row>
    <row r="20" spans="1:4">
      <c r="A20" s="4" t="s">
        <v>79</v>
      </c>
      <c r="B20" s="23" t="s">
        <v>80</v>
      </c>
      <c r="C20" s="23"/>
      <c r="D20" s="23"/>
    </row>
    <row r="21" spans="1:4">
      <c r="A21" s="4" t="s">
        <v>81</v>
      </c>
      <c r="B21" s="23" t="s">
        <v>82</v>
      </c>
      <c r="C21" s="23"/>
      <c r="D21" s="23"/>
    </row>
  </sheetData>
  <mergeCells count="6">
    <mergeCell ref="B21:D21"/>
    <mergeCell ref="A1:D1"/>
    <mergeCell ref="B17:D17"/>
    <mergeCell ref="B18:D18"/>
    <mergeCell ref="B19:D19"/>
    <mergeCell ref="B20:D20"/>
  </mergeCells>
  <dataValidations count="1">
    <dataValidation type="list" sqref="B7" xr:uid="{00000000-0002-0000-0100-000000000000}">
      <formula1>_xlfn._LONGTEXT("1,2,3,4,5,6,7,8,9,10,11,12,13,14,15,16,17,18,19,20,21,22,23,24,25,26,27,28,29,30,31,32,33,34,35,36,37,38,39,40,41,42,43,44,45,46,47,48,49,50,51,52,53,54,55,56,57,58,59,60,61,62,63,64,65,66,67,68,69,70,71,72,73,74,75,76,77,78,79,80,81,82,83,84,85,86,87,88,","89,90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7"/>
  <sheetViews>
    <sheetView tabSelected="1" workbookViewId="0">
      <pane xSplit="5" ySplit="4" topLeftCell="N11" activePane="bottomRight" state="frozen"/>
      <selection pane="topRight" activeCell="F1" sqref="F1"/>
      <selection pane="bottomLeft" activeCell="A5" sqref="A5"/>
      <selection pane="bottomRight" activeCell="Q19" sqref="Q19"/>
    </sheetView>
  </sheetViews>
  <sheetFormatPr defaultRowHeight="14.25"/>
  <cols>
    <col min="1" max="1" width="7.5" bestFit="1" customWidth="1"/>
    <col min="2" max="2" width="7.375" bestFit="1" customWidth="1"/>
    <col min="3" max="3" width="35.875" bestFit="1" customWidth="1"/>
    <col min="4" max="4" width="6.375" bestFit="1" customWidth="1"/>
    <col min="5" max="5" width="36.625" bestFit="1" customWidth="1"/>
    <col min="6" max="6" width="95.75" bestFit="1" customWidth="1"/>
    <col min="7" max="7" width="31.625" bestFit="1" customWidth="1"/>
    <col min="8" max="8" width="10.5" bestFit="1" customWidth="1"/>
    <col min="9" max="9" width="9.75" bestFit="1" customWidth="1"/>
    <col min="10" max="10" width="13.75" bestFit="1" customWidth="1"/>
    <col min="11" max="11" width="12" bestFit="1" customWidth="1"/>
    <col min="12" max="12" width="6.75" bestFit="1" customWidth="1"/>
    <col min="13" max="13" width="59.875" bestFit="1" customWidth="1"/>
    <col min="14" max="14" width="71.375" bestFit="1" customWidth="1"/>
    <col min="15" max="15" width="5.125" bestFit="1" customWidth="1"/>
    <col min="16" max="16" width="19.125" bestFit="1" customWidth="1"/>
    <col min="17" max="17" width="19.25" bestFit="1" customWidth="1"/>
    <col min="18" max="18" width="9.125" bestFit="1" customWidth="1"/>
    <col min="19" max="19" width="22.25" bestFit="1" customWidth="1"/>
    <col min="20" max="20" width="20.25" style="17" bestFit="1" customWidth="1"/>
    <col min="21" max="21" width="10" bestFit="1" customWidth="1"/>
    <col min="22" max="22" width="13" customWidth="1"/>
    <col min="23" max="23" width="14.125" bestFit="1" customWidth="1"/>
    <col min="24" max="24" width="20.5" bestFit="1" customWidth="1"/>
  </cols>
  <sheetData>
    <row r="1" spans="1:24" ht="19.5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9" t="s">
        <v>84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4" spans="1:24" ht="15">
      <c r="A4" s="1" t="s">
        <v>85</v>
      </c>
      <c r="B4" s="1" t="s">
        <v>10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56</v>
      </c>
      <c r="M4" s="1" t="s">
        <v>95</v>
      </c>
      <c r="N4" s="1" t="s">
        <v>96</v>
      </c>
      <c r="O4" s="1" t="s">
        <v>20</v>
      </c>
      <c r="P4" s="1" t="s">
        <v>97</v>
      </c>
      <c r="Q4" s="1" t="s">
        <v>98</v>
      </c>
      <c r="R4" s="1" t="s">
        <v>99</v>
      </c>
      <c r="S4" s="1" t="s">
        <v>100</v>
      </c>
      <c r="T4" s="16" t="s">
        <v>101</v>
      </c>
      <c r="U4" s="1" t="s">
        <v>102</v>
      </c>
      <c r="V4" s="1" t="s">
        <v>103</v>
      </c>
      <c r="W4" s="1" t="s">
        <v>104</v>
      </c>
      <c r="X4" s="1" t="s">
        <v>105</v>
      </c>
    </row>
    <row r="5" spans="1:24">
      <c r="A5" t="s">
        <v>106</v>
      </c>
      <c r="B5" t="s">
        <v>21</v>
      </c>
      <c r="C5" t="s">
        <v>22</v>
      </c>
      <c r="D5" t="s">
        <v>107</v>
      </c>
      <c r="E5" t="s">
        <v>108</v>
      </c>
      <c r="F5" t="s">
        <v>109</v>
      </c>
      <c r="H5">
        <v>1</v>
      </c>
      <c r="I5">
        <v>1</v>
      </c>
      <c r="J5">
        <v>1</v>
      </c>
      <c r="K5">
        <v>1</v>
      </c>
      <c r="L5" t="s">
        <v>57</v>
      </c>
      <c r="M5" t="s">
        <v>110</v>
      </c>
      <c r="N5" t="s">
        <v>111</v>
      </c>
      <c r="P5" s="14">
        <f>IF(Control!$B$7&lt;H5,0,IF(Control!$B$7&gt;=I5,1,(Control!$B$7-H5+1)/J5))</f>
        <v>1</v>
      </c>
      <c r="Q5" s="14">
        <v>1</v>
      </c>
      <c r="R5" s="14">
        <f t="shared" ref="R5:R36" si="0">K5/SUM($K$5:$K$137)</f>
        <v>5.4495912806539499E-3</v>
      </c>
      <c r="S5" s="14">
        <f t="shared" ref="S5:S36" si="1">P5*R5</f>
        <v>5.4495912806539499E-3</v>
      </c>
      <c r="T5" s="17">
        <f t="shared" ref="T5:T36" si="2">Q5*R5</f>
        <v>5.4495912806539499E-3</v>
      </c>
      <c r="U5" t="str">
        <f>IF(Q5&gt;=1,"Complete",IF(Q5&gt;0,"In Progress",IF(Control!$B$7&lt;H5,"Not Started",IF(Control!$B$7&gt;I5,"Late","Ready"))))</f>
        <v>Complete</v>
      </c>
      <c r="V5" s="15">
        <v>46216</v>
      </c>
      <c r="W5" s="15">
        <v>46222</v>
      </c>
    </row>
    <row r="6" spans="1:24">
      <c r="A6" t="s">
        <v>112</v>
      </c>
      <c r="B6" t="s">
        <v>21</v>
      </c>
      <c r="C6" t="s">
        <v>22</v>
      </c>
      <c r="D6" t="s">
        <v>107</v>
      </c>
      <c r="E6" t="s">
        <v>108</v>
      </c>
      <c r="F6" t="s">
        <v>113</v>
      </c>
      <c r="G6" t="s">
        <v>106</v>
      </c>
      <c r="H6">
        <v>1</v>
      </c>
      <c r="I6">
        <v>2</v>
      </c>
      <c r="J6">
        <v>2</v>
      </c>
      <c r="K6">
        <v>2</v>
      </c>
      <c r="L6" t="s">
        <v>57</v>
      </c>
      <c r="M6" t="s">
        <v>114</v>
      </c>
      <c r="N6" t="s">
        <v>115</v>
      </c>
      <c r="P6" s="14">
        <f>IF(Control!$B$7&lt;H6,0,IF(Control!$B$7&gt;=I6,1,(Control!$B$7-H6+1)/J6))</f>
        <v>0.5</v>
      </c>
      <c r="Q6" s="14">
        <v>1</v>
      </c>
      <c r="R6" s="14">
        <f t="shared" si="0"/>
        <v>1.08991825613079E-2</v>
      </c>
      <c r="S6" s="14">
        <f t="shared" si="1"/>
        <v>5.4495912806539499E-3</v>
      </c>
      <c r="T6" s="17">
        <f t="shared" si="2"/>
        <v>1.08991825613079E-2</v>
      </c>
      <c r="U6" t="str">
        <f>IF(Q6&gt;=1,"Complete",IF(Q6&gt;0,"In Progress",IF(Control!$B$7&lt;H6,"Not Started",IF(Control!$B$7&gt;I6,"Late","Ready"))))</f>
        <v>Complete</v>
      </c>
      <c r="V6" s="15">
        <v>46216</v>
      </c>
      <c r="W6" s="15">
        <v>46229</v>
      </c>
    </row>
    <row r="7" spans="1:24">
      <c r="A7" t="s">
        <v>116</v>
      </c>
      <c r="B7" t="s">
        <v>21</v>
      </c>
      <c r="C7" t="s">
        <v>22</v>
      </c>
      <c r="D7" t="s">
        <v>107</v>
      </c>
      <c r="E7" t="s">
        <v>108</v>
      </c>
      <c r="F7" t="s">
        <v>117</v>
      </c>
      <c r="G7" t="s">
        <v>106</v>
      </c>
      <c r="H7">
        <v>2</v>
      </c>
      <c r="I7">
        <v>2</v>
      </c>
      <c r="J7">
        <v>1</v>
      </c>
      <c r="K7">
        <v>1</v>
      </c>
      <c r="L7" t="s">
        <v>57</v>
      </c>
      <c r="M7" t="s">
        <v>118</v>
      </c>
      <c r="N7" t="s">
        <v>119</v>
      </c>
      <c r="P7" s="14">
        <f>IF(Control!$B$7&lt;H7,0,IF(Control!$B$7&gt;=I7,1,(Control!$B$7-H7+1)/J7))</f>
        <v>0</v>
      </c>
      <c r="Q7" s="14">
        <v>1</v>
      </c>
      <c r="R7" s="14">
        <f t="shared" si="0"/>
        <v>5.4495912806539499E-3</v>
      </c>
      <c r="S7" s="14">
        <f t="shared" si="1"/>
        <v>0</v>
      </c>
      <c r="T7" s="17">
        <f t="shared" si="2"/>
        <v>5.4495912806539499E-3</v>
      </c>
      <c r="U7" t="str">
        <f>IF(Q7&gt;=1,"Complete",IF(Q7&gt;0,"In Progress",IF(Control!$B$7&lt;H7,"Not Started",IF(Control!$B$7&gt;I7,"Late","Ready"))))</f>
        <v>Complete</v>
      </c>
      <c r="V7" s="15">
        <v>46223</v>
      </c>
      <c r="W7" s="15">
        <v>46229</v>
      </c>
    </row>
    <row r="8" spans="1:24">
      <c r="A8" t="s">
        <v>120</v>
      </c>
      <c r="B8" t="s">
        <v>21</v>
      </c>
      <c r="C8" t="s">
        <v>22</v>
      </c>
      <c r="D8" t="s">
        <v>121</v>
      </c>
      <c r="E8" t="s">
        <v>122</v>
      </c>
      <c r="F8" t="s">
        <v>123</v>
      </c>
      <c r="G8" t="s">
        <v>124</v>
      </c>
      <c r="H8">
        <v>2</v>
      </c>
      <c r="I8">
        <v>3</v>
      </c>
      <c r="J8">
        <v>2</v>
      </c>
      <c r="K8">
        <v>2</v>
      </c>
      <c r="L8" t="s">
        <v>57</v>
      </c>
      <c r="M8" t="s">
        <v>125</v>
      </c>
      <c r="N8" t="s">
        <v>126</v>
      </c>
      <c r="P8" s="14">
        <f>IF(Control!$B$7&lt;H8,0,IF(Control!$B$7&gt;=I8,1,(Control!$B$7-H8+1)/J8))</f>
        <v>0</v>
      </c>
      <c r="Q8" s="14">
        <v>1</v>
      </c>
      <c r="R8" s="14">
        <f t="shared" si="0"/>
        <v>1.08991825613079E-2</v>
      </c>
      <c r="S8" s="14">
        <f t="shared" si="1"/>
        <v>0</v>
      </c>
      <c r="T8" s="17">
        <f t="shared" si="2"/>
        <v>1.08991825613079E-2</v>
      </c>
      <c r="U8" t="str">
        <f>IF(Q8&gt;=1,"Complete",IF(Q8&gt;0,"In Progress",IF(Control!$B$7&lt;H8,"Not Started",IF(Control!$B$7&gt;I8,"Late","Ready"))))</f>
        <v>Complete</v>
      </c>
      <c r="V8" s="15">
        <v>46223</v>
      </c>
      <c r="W8" s="15">
        <v>46236</v>
      </c>
    </row>
    <row r="9" spans="1:24">
      <c r="A9" t="s">
        <v>127</v>
      </c>
      <c r="B9" t="s">
        <v>21</v>
      </c>
      <c r="C9" t="s">
        <v>22</v>
      </c>
      <c r="D9" t="s">
        <v>121</v>
      </c>
      <c r="E9" t="s">
        <v>122</v>
      </c>
      <c r="F9" t="s">
        <v>128</v>
      </c>
      <c r="G9" t="s">
        <v>120</v>
      </c>
      <c r="H9">
        <v>3</v>
      </c>
      <c r="I9">
        <v>3</v>
      </c>
      <c r="J9">
        <v>1</v>
      </c>
      <c r="K9">
        <v>1</v>
      </c>
      <c r="L9" t="s">
        <v>57</v>
      </c>
      <c r="M9" t="s">
        <v>129</v>
      </c>
      <c r="N9" t="s">
        <v>130</v>
      </c>
      <c r="P9" s="14">
        <f>IF(Control!$B$7&lt;H9,0,IF(Control!$B$7&gt;=I9,1,(Control!$B$7-H9+1)/J9))</f>
        <v>0</v>
      </c>
      <c r="Q9" s="14">
        <v>1</v>
      </c>
      <c r="R9" s="14">
        <f t="shared" si="0"/>
        <v>5.4495912806539499E-3</v>
      </c>
      <c r="S9" s="14">
        <f t="shared" si="1"/>
        <v>0</v>
      </c>
      <c r="T9" s="17">
        <f t="shared" si="2"/>
        <v>5.4495912806539499E-3</v>
      </c>
      <c r="U9" t="str">
        <f>IF(Q9&gt;=1,"Complete",IF(Q9&gt;0,"In Progress",IF(Control!$B$7&lt;H9,"Not Started",IF(Control!$B$7&gt;I9,"Late","Ready"))))</f>
        <v>Complete</v>
      </c>
      <c r="V9" s="15">
        <v>46230</v>
      </c>
      <c r="W9" s="15">
        <v>46236</v>
      </c>
    </row>
    <row r="10" spans="1:24">
      <c r="A10" t="s">
        <v>131</v>
      </c>
      <c r="B10" t="s">
        <v>21</v>
      </c>
      <c r="C10" t="s">
        <v>22</v>
      </c>
      <c r="D10" t="s">
        <v>121</v>
      </c>
      <c r="E10" t="s">
        <v>122</v>
      </c>
      <c r="F10" t="s">
        <v>132</v>
      </c>
      <c r="G10" t="s">
        <v>120</v>
      </c>
      <c r="H10">
        <v>3</v>
      </c>
      <c r="I10">
        <v>4</v>
      </c>
      <c r="J10">
        <v>2</v>
      </c>
      <c r="K10">
        <v>2</v>
      </c>
      <c r="L10" t="s">
        <v>57</v>
      </c>
      <c r="M10" t="s">
        <v>133</v>
      </c>
      <c r="N10" t="s">
        <v>134</v>
      </c>
      <c r="P10" s="14">
        <f>IF(Control!$B$7&lt;H10,0,IF(Control!$B$7&gt;=I10,1,(Control!$B$7-H10+1)/J10))</f>
        <v>0</v>
      </c>
      <c r="Q10" s="14">
        <v>1</v>
      </c>
      <c r="R10" s="14">
        <f t="shared" si="0"/>
        <v>1.08991825613079E-2</v>
      </c>
      <c r="S10" s="14">
        <f t="shared" si="1"/>
        <v>0</v>
      </c>
      <c r="T10" s="17">
        <f t="shared" si="2"/>
        <v>1.08991825613079E-2</v>
      </c>
      <c r="U10" t="str">
        <f>IF(Q10&gt;=1,"Complete",IF(Q10&gt;0,"In Progress",IF(Control!$B$7&lt;H10,"Not Started",IF(Control!$B$7&gt;I10,"Late","Ready"))))</f>
        <v>Complete</v>
      </c>
      <c r="V10" s="15">
        <v>46230</v>
      </c>
      <c r="W10" s="15">
        <v>46243</v>
      </c>
    </row>
    <row r="11" spans="1:24">
      <c r="A11" t="s">
        <v>135</v>
      </c>
      <c r="B11" t="s">
        <v>21</v>
      </c>
      <c r="C11" t="s">
        <v>22</v>
      </c>
      <c r="D11" t="s">
        <v>121</v>
      </c>
      <c r="E11" t="s">
        <v>122</v>
      </c>
      <c r="F11" t="s">
        <v>136</v>
      </c>
      <c r="G11" t="s">
        <v>137</v>
      </c>
      <c r="H11">
        <v>4</v>
      </c>
      <c r="I11">
        <v>4</v>
      </c>
      <c r="J11">
        <v>1</v>
      </c>
      <c r="K11">
        <v>1</v>
      </c>
      <c r="L11" t="s">
        <v>57</v>
      </c>
      <c r="M11" t="s">
        <v>138</v>
      </c>
      <c r="N11" t="s">
        <v>139</v>
      </c>
      <c r="P11" s="14">
        <f>IF(Control!$B$7&lt;H11,0,IF(Control!$B$7&gt;=I11,1,(Control!$B$7-H11+1)/J11))</f>
        <v>0</v>
      </c>
      <c r="Q11" s="14">
        <v>1</v>
      </c>
      <c r="R11" s="14">
        <f t="shared" si="0"/>
        <v>5.4495912806539499E-3</v>
      </c>
      <c r="S11" s="14">
        <f t="shared" si="1"/>
        <v>0</v>
      </c>
      <c r="T11" s="17">
        <f t="shared" si="2"/>
        <v>5.4495912806539499E-3</v>
      </c>
      <c r="U11" t="str">
        <f>IF(Q11&gt;=1,"Complete",IF(Q11&gt;0,"In Progress",IF(Control!$B$7&lt;H11,"Not Started",IF(Control!$B$7&gt;I11,"Late","Ready"))))</f>
        <v>Complete</v>
      </c>
      <c r="V11" s="15">
        <v>46237</v>
      </c>
      <c r="W11" s="15">
        <v>46243</v>
      </c>
    </row>
    <row r="12" spans="1:24">
      <c r="A12" t="s">
        <v>140</v>
      </c>
      <c r="B12" t="s">
        <v>21</v>
      </c>
      <c r="C12" t="s">
        <v>22</v>
      </c>
      <c r="D12" t="s">
        <v>141</v>
      </c>
      <c r="E12" t="s">
        <v>142</v>
      </c>
      <c r="F12" t="s">
        <v>143</v>
      </c>
      <c r="G12" t="s">
        <v>131</v>
      </c>
      <c r="H12">
        <v>4</v>
      </c>
      <c r="I12">
        <v>5</v>
      </c>
      <c r="J12">
        <v>2</v>
      </c>
      <c r="K12">
        <v>2</v>
      </c>
      <c r="L12" t="s">
        <v>57</v>
      </c>
      <c r="M12" t="s">
        <v>144</v>
      </c>
      <c r="N12" t="s">
        <v>145</v>
      </c>
      <c r="P12" s="14">
        <f>IF(Control!$B$7&lt;H12,0,IF(Control!$B$7&gt;=I12,1,(Control!$B$7-H12+1)/J12))</f>
        <v>0</v>
      </c>
      <c r="Q12" s="14">
        <v>1</v>
      </c>
      <c r="R12" s="14">
        <f t="shared" si="0"/>
        <v>1.08991825613079E-2</v>
      </c>
      <c r="S12" s="14">
        <f t="shared" si="1"/>
        <v>0</v>
      </c>
      <c r="T12" s="17">
        <f t="shared" si="2"/>
        <v>1.08991825613079E-2</v>
      </c>
      <c r="U12" t="str">
        <f>IF(Q12&gt;=1,"Complete",IF(Q12&gt;0,"In Progress",IF(Control!$B$7&lt;H12,"Not Started",IF(Control!$B$7&gt;I12,"Late","Ready"))))</f>
        <v>Complete</v>
      </c>
      <c r="V12" s="15">
        <v>46237</v>
      </c>
      <c r="W12" s="15">
        <v>46250</v>
      </c>
    </row>
    <row r="13" spans="1:24">
      <c r="A13" t="s">
        <v>146</v>
      </c>
      <c r="B13" t="s">
        <v>21</v>
      </c>
      <c r="C13" t="s">
        <v>22</v>
      </c>
      <c r="D13" t="s">
        <v>141</v>
      </c>
      <c r="E13" t="s">
        <v>142</v>
      </c>
      <c r="F13" t="s">
        <v>147</v>
      </c>
      <c r="G13" t="s">
        <v>140</v>
      </c>
      <c r="H13">
        <v>5</v>
      </c>
      <c r="I13">
        <v>6</v>
      </c>
      <c r="J13">
        <v>2</v>
      </c>
      <c r="K13">
        <v>2</v>
      </c>
      <c r="L13" t="s">
        <v>57</v>
      </c>
      <c r="M13" t="s">
        <v>148</v>
      </c>
      <c r="N13" t="s">
        <v>149</v>
      </c>
      <c r="P13" s="14">
        <f>IF(Control!$B$7&lt;H13,0,IF(Control!$B$7&gt;=I13,1,(Control!$B$7-H13+1)/J13))</f>
        <v>0</v>
      </c>
      <c r="Q13" s="14">
        <v>1</v>
      </c>
      <c r="R13" s="14">
        <f t="shared" si="0"/>
        <v>1.08991825613079E-2</v>
      </c>
      <c r="S13" s="14">
        <f t="shared" si="1"/>
        <v>0</v>
      </c>
      <c r="T13" s="17">
        <f t="shared" si="2"/>
        <v>1.08991825613079E-2</v>
      </c>
      <c r="U13" t="str">
        <f>IF(Q13&gt;=1,"Complete",IF(Q13&gt;0,"In Progress",IF(Control!$B$7&lt;H13,"Not Started",IF(Control!$B$7&gt;I13,"Late","Ready"))))</f>
        <v>Complete</v>
      </c>
      <c r="V13" s="15">
        <v>46244</v>
      </c>
      <c r="W13" s="15">
        <v>46257</v>
      </c>
    </row>
    <row r="14" spans="1:24">
      <c r="A14" t="s">
        <v>150</v>
      </c>
      <c r="B14" t="s">
        <v>21</v>
      </c>
      <c r="C14" t="s">
        <v>22</v>
      </c>
      <c r="D14" t="s">
        <v>141</v>
      </c>
      <c r="E14" t="s">
        <v>142</v>
      </c>
      <c r="F14" t="s">
        <v>151</v>
      </c>
      <c r="G14" t="s">
        <v>152</v>
      </c>
      <c r="H14">
        <v>6</v>
      </c>
      <c r="I14">
        <v>6</v>
      </c>
      <c r="J14">
        <v>1</v>
      </c>
      <c r="K14">
        <v>1.2</v>
      </c>
      <c r="L14" t="s">
        <v>57</v>
      </c>
      <c r="M14" t="s">
        <v>153</v>
      </c>
      <c r="N14" t="s">
        <v>154</v>
      </c>
      <c r="O14" t="s">
        <v>23</v>
      </c>
      <c r="P14" s="14">
        <f>IF(Control!$B$7&lt;H14,0,IF(Control!$B$7&gt;=I14,1,(Control!$B$7-H14+1)/J14))</f>
        <v>0</v>
      </c>
      <c r="Q14" s="14">
        <v>1</v>
      </c>
      <c r="R14" s="14">
        <f t="shared" si="0"/>
        <v>6.5395095367847397E-3</v>
      </c>
      <c r="S14" s="14">
        <f t="shared" si="1"/>
        <v>0</v>
      </c>
      <c r="T14" s="17">
        <f t="shared" si="2"/>
        <v>6.5395095367847397E-3</v>
      </c>
      <c r="U14" t="str">
        <f>IF(Q14&gt;=1,"Complete",IF(Q14&gt;0,"In Progress",IF(Control!$B$7&lt;H14,"Not Started",IF(Control!$B$7&gt;I14,"Late","Ready"))))</f>
        <v>Complete</v>
      </c>
      <c r="V14" s="15">
        <v>46251</v>
      </c>
      <c r="W14" s="15">
        <v>46257</v>
      </c>
    </row>
    <row r="15" spans="1:24">
      <c r="A15" t="s">
        <v>155</v>
      </c>
      <c r="B15" t="s">
        <v>24</v>
      </c>
      <c r="C15" t="s">
        <v>25</v>
      </c>
      <c r="D15" t="s">
        <v>156</v>
      </c>
      <c r="E15" t="s">
        <v>157</v>
      </c>
      <c r="F15" t="s">
        <v>158</v>
      </c>
      <c r="G15" t="s">
        <v>150</v>
      </c>
      <c r="H15">
        <v>7</v>
      </c>
      <c r="I15">
        <v>7</v>
      </c>
      <c r="J15">
        <v>1</v>
      </c>
      <c r="K15">
        <v>1</v>
      </c>
      <c r="L15" t="s">
        <v>57</v>
      </c>
      <c r="M15" t="s">
        <v>159</v>
      </c>
      <c r="N15" t="s">
        <v>160</v>
      </c>
      <c r="P15" s="14">
        <f>IF(Control!$B$7&lt;H15,0,IF(Control!$B$7&gt;=I15,1,(Control!$B$7-H15+1)/J15))</f>
        <v>0</v>
      </c>
      <c r="Q15" s="14">
        <v>1</v>
      </c>
      <c r="R15" s="14">
        <f t="shared" si="0"/>
        <v>5.4495912806539499E-3</v>
      </c>
      <c r="S15" s="14">
        <f t="shared" si="1"/>
        <v>0</v>
      </c>
      <c r="T15" s="17">
        <f t="shared" si="2"/>
        <v>5.4495912806539499E-3</v>
      </c>
      <c r="U15" t="str">
        <f>IF(Q15&gt;=1,"Complete",IF(Q15&gt;0,"In Progress",IF(Control!$B$7&lt;H15,"Not Started",IF(Control!$B$7&gt;I15,"Late","Ready"))))</f>
        <v>Complete</v>
      </c>
      <c r="V15" s="15">
        <v>46258</v>
      </c>
      <c r="W15" s="15">
        <v>46264</v>
      </c>
    </row>
    <row r="16" spans="1:24">
      <c r="A16" t="s">
        <v>161</v>
      </c>
      <c r="B16" t="s">
        <v>24</v>
      </c>
      <c r="C16" t="s">
        <v>25</v>
      </c>
      <c r="D16" t="s">
        <v>156</v>
      </c>
      <c r="E16" t="s">
        <v>157</v>
      </c>
      <c r="F16" t="s">
        <v>162</v>
      </c>
      <c r="G16" t="s">
        <v>155</v>
      </c>
      <c r="H16">
        <v>7</v>
      </c>
      <c r="I16">
        <v>8</v>
      </c>
      <c r="J16">
        <v>2</v>
      </c>
      <c r="K16">
        <v>2</v>
      </c>
      <c r="L16" t="s">
        <v>57</v>
      </c>
      <c r="M16" t="s">
        <v>163</v>
      </c>
      <c r="N16" t="s">
        <v>164</v>
      </c>
      <c r="P16" s="14">
        <f>IF(Control!$B$7&lt;H16,0,IF(Control!$B$7&gt;=I16,1,(Control!$B$7-H16+1)/J16))</f>
        <v>0</v>
      </c>
      <c r="Q16" s="14">
        <v>1</v>
      </c>
      <c r="R16" s="14">
        <f t="shared" si="0"/>
        <v>1.08991825613079E-2</v>
      </c>
      <c r="S16" s="14">
        <f t="shared" si="1"/>
        <v>0</v>
      </c>
      <c r="T16" s="17">
        <f t="shared" si="2"/>
        <v>1.08991825613079E-2</v>
      </c>
      <c r="U16" t="str">
        <f>IF(Q16&gt;=1,"Complete",IF(Q16&gt;0,"In Progress",IF(Control!$B$7&lt;H16,"Not Started",IF(Control!$B$7&gt;I16,"Late","Ready"))))</f>
        <v>Complete</v>
      </c>
      <c r="V16" s="15">
        <v>46258</v>
      </c>
      <c r="W16" s="15">
        <v>46271</v>
      </c>
    </row>
    <row r="17" spans="1:23">
      <c r="A17" t="s">
        <v>165</v>
      </c>
      <c r="B17" t="s">
        <v>24</v>
      </c>
      <c r="C17" t="s">
        <v>25</v>
      </c>
      <c r="D17" t="s">
        <v>156</v>
      </c>
      <c r="E17" t="s">
        <v>157</v>
      </c>
      <c r="F17" t="s">
        <v>166</v>
      </c>
      <c r="G17" t="s">
        <v>161</v>
      </c>
      <c r="H17">
        <v>8</v>
      </c>
      <c r="I17">
        <v>8</v>
      </c>
      <c r="J17">
        <v>1</v>
      </c>
      <c r="K17">
        <v>1</v>
      </c>
      <c r="L17" t="s">
        <v>57</v>
      </c>
      <c r="M17" t="s">
        <v>167</v>
      </c>
      <c r="N17" t="s">
        <v>168</v>
      </c>
      <c r="P17" s="14">
        <f>IF(Control!$B$7&lt;H17,0,IF(Control!$B$7&gt;=I17,1,(Control!$B$7-H17+1)/J17))</f>
        <v>0</v>
      </c>
      <c r="Q17" s="14">
        <v>1</v>
      </c>
      <c r="R17" s="14">
        <f t="shared" si="0"/>
        <v>5.4495912806539499E-3</v>
      </c>
      <c r="S17" s="14">
        <f t="shared" si="1"/>
        <v>0</v>
      </c>
      <c r="T17" s="17">
        <f t="shared" si="2"/>
        <v>5.4495912806539499E-3</v>
      </c>
      <c r="U17" t="str">
        <f>IF(Q17&gt;=1,"Complete",IF(Q17&gt;0,"In Progress",IF(Control!$B$7&lt;H17,"Not Started",IF(Control!$B$7&gt;I17,"Late","Ready"))))</f>
        <v>Complete</v>
      </c>
      <c r="V17" s="15">
        <v>46265</v>
      </c>
      <c r="W17" s="15">
        <v>46271</v>
      </c>
    </row>
    <row r="18" spans="1:23">
      <c r="A18" t="s">
        <v>169</v>
      </c>
      <c r="B18" t="s">
        <v>24</v>
      </c>
      <c r="C18" t="s">
        <v>25</v>
      </c>
      <c r="D18" t="s">
        <v>170</v>
      </c>
      <c r="E18" t="s">
        <v>171</v>
      </c>
      <c r="F18" t="s">
        <v>172</v>
      </c>
      <c r="G18" t="s">
        <v>161</v>
      </c>
      <c r="H18">
        <v>8</v>
      </c>
      <c r="I18">
        <v>8</v>
      </c>
      <c r="J18">
        <v>1</v>
      </c>
      <c r="K18">
        <v>1</v>
      </c>
      <c r="L18" t="s">
        <v>57</v>
      </c>
      <c r="M18" t="s">
        <v>173</v>
      </c>
      <c r="N18" t="s">
        <v>174</v>
      </c>
      <c r="P18" s="14">
        <f>IF(Control!$B$7&lt;H18,0,IF(Control!$B$7&gt;=I18,1,(Control!$B$7-H18+1)/J18))</f>
        <v>0</v>
      </c>
      <c r="Q18" s="14">
        <v>1</v>
      </c>
      <c r="R18" s="14">
        <f t="shared" si="0"/>
        <v>5.4495912806539499E-3</v>
      </c>
      <c r="S18" s="14">
        <f t="shared" si="1"/>
        <v>0</v>
      </c>
      <c r="T18" s="17">
        <f t="shared" si="2"/>
        <v>5.4495912806539499E-3</v>
      </c>
      <c r="U18" t="str">
        <f>IF(Q18&gt;=1,"Complete",IF(Q18&gt;0,"In Progress",IF(Control!$B$7&lt;H18,"Not Started",IF(Control!$B$7&gt;I18,"Late","Ready"))))</f>
        <v>Complete</v>
      </c>
      <c r="V18" s="15">
        <v>46265</v>
      </c>
      <c r="W18" s="15">
        <v>46271</v>
      </c>
    </row>
    <row r="19" spans="1:23">
      <c r="A19" t="s">
        <v>175</v>
      </c>
      <c r="B19" t="s">
        <v>24</v>
      </c>
      <c r="C19" t="s">
        <v>25</v>
      </c>
      <c r="D19" t="s">
        <v>170</v>
      </c>
      <c r="E19" t="s">
        <v>171</v>
      </c>
      <c r="F19" t="s">
        <v>176</v>
      </c>
      <c r="G19" t="s">
        <v>169</v>
      </c>
      <c r="H19">
        <v>9</v>
      </c>
      <c r="I19">
        <v>9</v>
      </c>
      <c r="J19">
        <v>1</v>
      </c>
      <c r="K19">
        <v>1</v>
      </c>
      <c r="L19" t="s">
        <v>57</v>
      </c>
      <c r="M19" t="s">
        <v>177</v>
      </c>
      <c r="N19" t="s">
        <v>178</v>
      </c>
      <c r="P19" s="14">
        <f>IF(Control!$B$7&lt;H19,0,IF(Control!$B$7&gt;=I19,1,(Control!$B$7-H19+1)/J19))</f>
        <v>0</v>
      </c>
      <c r="Q19" s="14">
        <v>1</v>
      </c>
      <c r="R19" s="14">
        <f t="shared" si="0"/>
        <v>5.4495912806539499E-3</v>
      </c>
      <c r="S19" s="14">
        <f t="shared" si="1"/>
        <v>0</v>
      </c>
      <c r="T19" s="17">
        <f t="shared" si="2"/>
        <v>5.4495912806539499E-3</v>
      </c>
      <c r="U19" t="str">
        <f>IF(Q19&gt;=1,"Complete",IF(Q19&gt;0,"In Progress",IF(Control!$B$7&lt;H19,"Not Started",IF(Control!$B$7&gt;I19,"Late","Ready"))))</f>
        <v>Complete</v>
      </c>
      <c r="V19" s="15">
        <v>46272</v>
      </c>
      <c r="W19" s="15">
        <v>46278</v>
      </c>
    </row>
    <row r="20" spans="1:23">
      <c r="A20" t="s">
        <v>179</v>
      </c>
      <c r="B20" t="s">
        <v>24</v>
      </c>
      <c r="C20" t="s">
        <v>25</v>
      </c>
      <c r="D20" t="s">
        <v>170</v>
      </c>
      <c r="E20" t="s">
        <v>171</v>
      </c>
      <c r="F20" t="s">
        <v>180</v>
      </c>
      <c r="G20" t="s">
        <v>175</v>
      </c>
      <c r="H20">
        <v>9</v>
      </c>
      <c r="I20">
        <v>9</v>
      </c>
      <c r="J20">
        <v>1</v>
      </c>
      <c r="K20">
        <v>1</v>
      </c>
      <c r="L20" t="s">
        <v>57</v>
      </c>
      <c r="M20" t="s">
        <v>181</v>
      </c>
      <c r="N20" t="s">
        <v>182</v>
      </c>
      <c r="P20" s="14">
        <f>IF(Control!$B$7&lt;H20,0,IF(Control!$B$7&gt;=I20,1,(Control!$B$7-H20+1)/J20))</f>
        <v>0</v>
      </c>
      <c r="Q20" s="14">
        <v>0</v>
      </c>
      <c r="R20" s="14">
        <f t="shared" si="0"/>
        <v>5.4495912806539499E-3</v>
      </c>
      <c r="S20" s="14">
        <f t="shared" si="1"/>
        <v>0</v>
      </c>
      <c r="T20" s="17">
        <f t="shared" si="2"/>
        <v>0</v>
      </c>
      <c r="U20" t="str">
        <f>IF(Q20&gt;=1,"Complete",IF(Q20&gt;0,"In Progress",IF(Control!$B$7&lt;H20,"Not Started",IF(Control!$B$7&gt;I20,"Late","Ready"))))</f>
        <v>Not Started</v>
      </c>
      <c r="V20" s="15">
        <v>46272</v>
      </c>
      <c r="W20" s="15">
        <v>46278</v>
      </c>
    </row>
    <row r="21" spans="1:23">
      <c r="A21" t="s">
        <v>183</v>
      </c>
      <c r="B21" t="s">
        <v>24</v>
      </c>
      <c r="C21" t="s">
        <v>25</v>
      </c>
      <c r="D21" t="s">
        <v>184</v>
      </c>
      <c r="E21" t="s">
        <v>185</v>
      </c>
      <c r="F21" t="s">
        <v>186</v>
      </c>
      <c r="G21" t="s">
        <v>179</v>
      </c>
      <c r="H21">
        <v>9</v>
      </c>
      <c r="I21">
        <v>10</v>
      </c>
      <c r="J21">
        <v>2</v>
      </c>
      <c r="K21">
        <v>2</v>
      </c>
      <c r="L21" t="s">
        <v>57</v>
      </c>
      <c r="M21" t="s">
        <v>187</v>
      </c>
      <c r="N21" t="s">
        <v>188</v>
      </c>
      <c r="P21" s="14">
        <f>IF(Control!$B$7&lt;H21,0,IF(Control!$B$7&gt;=I21,1,(Control!$B$7-H21+1)/J21))</f>
        <v>0</v>
      </c>
      <c r="Q21" s="14">
        <v>0</v>
      </c>
      <c r="R21" s="14">
        <f t="shared" si="0"/>
        <v>1.08991825613079E-2</v>
      </c>
      <c r="S21" s="14">
        <f t="shared" si="1"/>
        <v>0</v>
      </c>
      <c r="T21" s="17">
        <f t="shared" si="2"/>
        <v>0</v>
      </c>
      <c r="U21" t="str">
        <f>IF(Q21&gt;=1,"Complete",IF(Q21&gt;0,"In Progress",IF(Control!$B$7&lt;H21,"Not Started",IF(Control!$B$7&gt;I21,"Late","Ready"))))</f>
        <v>Not Started</v>
      </c>
      <c r="V21" s="15">
        <v>46272</v>
      </c>
      <c r="W21" s="15">
        <v>46285</v>
      </c>
    </row>
    <row r="22" spans="1:23">
      <c r="A22" t="s">
        <v>189</v>
      </c>
      <c r="B22" t="s">
        <v>24</v>
      </c>
      <c r="C22" t="s">
        <v>25</v>
      </c>
      <c r="D22" t="s">
        <v>184</v>
      </c>
      <c r="E22" t="s">
        <v>185</v>
      </c>
      <c r="F22" t="s">
        <v>190</v>
      </c>
      <c r="G22" t="s">
        <v>183</v>
      </c>
      <c r="H22">
        <v>10</v>
      </c>
      <c r="I22">
        <v>11</v>
      </c>
      <c r="J22">
        <v>2</v>
      </c>
      <c r="K22">
        <v>2</v>
      </c>
      <c r="L22" t="s">
        <v>57</v>
      </c>
      <c r="M22" t="s">
        <v>191</v>
      </c>
      <c r="N22" t="s">
        <v>192</v>
      </c>
      <c r="P22" s="14">
        <f>IF(Control!$B$7&lt;H22,0,IF(Control!$B$7&gt;=I22,1,(Control!$B$7-H22+1)/J22))</f>
        <v>0</v>
      </c>
      <c r="Q22" s="14">
        <v>0</v>
      </c>
      <c r="R22" s="14">
        <f t="shared" si="0"/>
        <v>1.08991825613079E-2</v>
      </c>
      <c r="S22" s="14">
        <f t="shared" si="1"/>
        <v>0</v>
      </c>
      <c r="T22" s="17">
        <f t="shared" si="2"/>
        <v>0</v>
      </c>
      <c r="U22" t="str">
        <f>IF(Q22&gt;=1,"Complete",IF(Q22&gt;0,"In Progress",IF(Control!$B$7&lt;H22,"Not Started",IF(Control!$B$7&gt;I22,"Late","Ready"))))</f>
        <v>Not Started</v>
      </c>
      <c r="V22" s="15">
        <v>46279</v>
      </c>
      <c r="W22" s="15">
        <v>46292</v>
      </c>
    </row>
    <row r="23" spans="1:23">
      <c r="A23" t="s">
        <v>193</v>
      </c>
      <c r="B23" t="s">
        <v>24</v>
      </c>
      <c r="C23" t="s">
        <v>25</v>
      </c>
      <c r="D23" t="s">
        <v>184</v>
      </c>
      <c r="E23" t="s">
        <v>185</v>
      </c>
      <c r="F23" t="s">
        <v>194</v>
      </c>
      <c r="G23" t="s">
        <v>189</v>
      </c>
      <c r="H23">
        <v>11</v>
      </c>
      <c r="I23">
        <v>11</v>
      </c>
      <c r="J23">
        <v>1</v>
      </c>
      <c r="K23">
        <v>1</v>
      </c>
      <c r="L23" t="s">
        <v>57</v>
      </c>
      <c r="M23" t="s">
        <v>195</v>
      </c>
      <c r="N23" t="s">
        <v>196</v>
      </c>
      <c r="P23" s="14">
        <f>IF(Control!$B$7&lt;H23,0,IF(Control!$B$7&gt;=I23,1,(Control!$B$7-H23+1)/J23))</f>
        <v>0</v>
      </c>
      <c r="Q23" s="14">
        <v>0</v>
      </c>
      <c r="R23" s="14">
        <f t="shared" si="0"/>
        <v>5.4495912806539499E-3</v>
      </c>
      <c r="S23" s="14">
        <f t="shared" si="1"/>
        <v>0</v>
      </c>
      <c r="T23" s="17">
        <f t="shared" si="2"/>
        <v>0</v>
      </c>
      <c r="U23" t="str">
        <f>IF(Q23&gt;=1,"Complete",IF(Q23&gt;0,"In Progress",IF(Control!$B$7&lt;H23,"Not Started",IF(Control!$B$7&gt;I23,"Late","Ready"))))</f>
        <v>Not Started</v>
      </c>
      <c r="V23" s="15">
        <v>46286</v>
      </c>
      <c r="W23" s="15">
        <v>46292</v>
      </c>
    </row>
    <row r="24" spans="1:23">
      <c r="A24" t="s">
        <v>197</v>
      </c>
      <c r="B24" t="s">
        <v>24</v>
      </c>
      <c r="C24" t="s">
        <v>25</v>
      </c>
      <c r="D24" t="s">
        <v>198</v>
      </c>
      <c r="E24" t="s">
        <v>199</v>
      </c>
      <c r="F24" t="s">
        <v>200</v>
      </c>
      <c r="G24" t="s">
        <v>193</v>
      </c>
      <c r="H24">
        <v>11</v>
      </c>
      <c r="I24">
        <v>12</v>
      </c>
      <c r="J24">
        <v>2</v>
      </c>
      <c r="K24">
        <v>2</v>
      </c>
      <c r="L24" t="s">
        <v>57</v>
      </c>
      <c r="M24" t="s">
        <v>201</v>
      </c>
      <c r="N24" t="s">
        <v>202</v>
      </c>
      <c r="P24" s="14">
        <f>IF(Control!$B$7&lt;H24,0,IF(Control!$B$7&gt;=I24,1,(Control!$B$7-H24+1)/J24))</f>
        <v>0</v>
      </c>
      <c r="Q24" s="14">
        <v>0</v>
      </c>
      <c r="R24" s="14">
        <f t="shared" si="0"/>
        <v>1.08991825613079E-2</v>
      </c>
      <c r="S24" s="14">
        <f t="shared" si="1"/>
        <v>0</v>
      </c>
      <c r="T24" s="17">
        <f t="shared" si="2"/>
        <v>0</v>
      </c>
      <c r="U24" t="str">
        <f>IF(Q24&gt;=1,"Complete",IF(Q24&gt;0,"In Progress",IF(Control!$B$7&lt;H24,"Not Started",IF(Control!$B$7&gt;I24,"Late","Ready"))))</f>
        <v>Not Started</v>
      </c>
      <c r="V24" s="15">
        <v>46286</v>
      </c>
      <c r="W24" s="15">
        <v>46299</v>
      </c>
    </row>
    <row r="25" spans="1:23">
      <c r="A25" t="s">
        <v>203</v>
      </c>
      <c r="B25" t="s">
        <v>24</v>
      </c>
      <c r="C25" t="s">
        <v>25</v>
      </c>
      <c r="D25" t="s">
        <v>198</v>
      </c>
      <c r="E25" t="s">
        <v>199</v>
      </c>
      <c r="F25" t="s">
        <v>204</v>
      </c>
      <c r="G25" t="s">
        <v>197</v>
      </c>
      <c r="H25">
        <v>12</v>
      </c>
      <c r="I25">
        <v>12</v>
      </c>
      <c r="J25">
        <v>1</v>
      </c>
      <c r="K25">
        <v>1</v>
      </c>
      <c r="L25" t="s">
        <v>57</v>
      </c>
      <c r="M25" t="s">
        <v>205</v>
      </c>
      <c r="N25" t="s">
        <v>206</v>
      </c>
      <c r="P25" s="14">
        <f>IF(Control!$B$7&lt;H25,0,IF(Control!$B$7&gt;=I25,1,(Control!$B$7-H25+1)/J25))</f>
        <v>0</v>
      </c>
      <c r="Q25" s="14">
        <v>0</v>
      </c>
      <c r="R25" s="14">
        <f t="shared" si="0"/>
        <v>5.4495912806539499E-3</v>
      </c>
      <c r="S25" s="14">
        <f t="shared" si="1"/>
        <v>0</v>
      </c>
      <c r="T25" s="17">
        <f t="shared" si="2"/>
        <v>0</v>
      </c>
      <c r="U25" t="str">
        <f>IF(Q25&gt;=1,"Complete",IF(Q25&gt;0,"In Progress",IF(Control!$B$7&lt;H25,"Not Started",IF(Control!$B$7&gt;I25,"Late","Ready"))))</f>
        <v>Not Started</v>
      </c>
      <c r="V25" s="15">
        <v>46293</v>
      </c>
      <c r="W25" s="15">
        <v>46299</v>
      </c>
    </row>
    <row r="26" spans="1:23">
      <c r="A26" t="s">
        <v>207</v>
      </c>
      <c r="B26" t="s">
        <v>24</v>
      </c>
      <c r="C26" t="s">
        <v>25</v>
      </c>
      <c r="D26" t="s">
        <v>198</v>
      </c>
      <c r="E26" t="s">
        <v>199</v>
      </c>
      <c r="F26" t="s">
        <v>208</v>
      </c>
      <c r="G26" t="s">
        <v>209</v>
      </c>
      <c r="H26">
        <v>12</v>
      </c>
      <c r="I26">
        <v>12</v>
      </c>
      <c r="J26">
        <v>1</v>
      </c>
      <c r="K26">
        <v>1.2</v>
      </c>
      <c r="L26" t="s">
        <v>57</v>
      </c>
      <c r="M26" t="s">
        <v>210</v>
      </c>
      <c r="N26" t="s">
        <v>211</v>
      </c>
      <c r="O26" t="s">
        <v>26</v>
      </c>
      <c r="P26" s="14">
        <f>IF(Control!$B$7&lt;H26,0,IF(Control!$B$7&gt;=I26,1,(Control!$B$7-H26+1)/J26))</f>
        <v>0</v>
      </c>
      <c r="Q26" s="14">
        <v>0</v>
      </c>
      <c r="R26" s="14">
        <f t="shared" si="0"/>
        <v>6.5395095367847397E-3</v>
      </c>
      <c r="S26" s="14">
        <f t="shared" si="1"/>
        <v>0</v>
      </c>
      <c r="T26" s="17">
        <f t="shared" si="2"/>
        <v>0</v>
      </c>
      <c r="U26" t="str">
        <f>IF(Q26&gt;=1,"Complete",IF(Q26&gt;0,"In Progress",IF(Control!$B$7&lt;H26,"Not Started",IF(Control!$B$7&gt;I26,"Late","Ready"))))</f>
        <v>Not Started</v>
      </c>
      <c r="V26" s="15">
        <v>46293</v>
      </c>
      <c r="W26" s="15">
        <v>46299</v>
      </c>
    </row>
    <row r="27" spans="1:23">
      <c r="A27" t="s">
        <v>212</v>
      </c>
      <c r="B27" t="s">
        <v>27</v>
      </c>
      <c r="C27" t="s">
        <v>28</v>
      </c>
      <c r="D27" t="s">
        <v>213</v>
      </c>
      <c r="E27" t="s">
        <v>214</v>
      </c>
      <c r="F27" t="s">
        <v>215</v>
      </c>
      <c r="G27" t="s">
        <v>207</v>
      </c>
      <c r="H27">
        <v>13</v>
      </c>
      <c r="I27">
        <v>13</v>
      </c>
      <c r="J27">
        <v>1</v>
      </c>
      <c r="K27">
        <v>1</v>
      </c>
      <c r="L27" t="s">
        <v>57</v>
      </c>
      <c r="M27" t="s">
        <v>216</v>
      </c>
      <c r="N27" t="s">
        <v>217</v>
      </c>
      <c r="P27" s="14">
        <f>IF(Control!$B$7&lt;H27,0,IF(Control!$B$7&gt;=I27,1,(Control!$B$7-H27+1)/J27))</f>
        <v>0</v>
      </c>
      <c r="Q27" s="14">
        <v>0</v>
      </c>
      <c r="R27" s="14">
        <f t="shared" si="0"/>
        <v>5.4495912806539499E-3</v>
      </c>
      <c r="S27" s="14">
        <f t="shared" si="1"/>
        <v>0</v>
      </c>
      <c r="T27" s="17">
        <f t="shared" si="2"/>
        <v>0</v>
      </c>
      <c r="U27" t="str">
        <f>IF(Q27&gt;=1,"Complete",IF(Q27&gt;0,"In Progress",IF(Control!$B$7&lt;H27,"Not Started",IF(Control!$B$7&gt;I27,"Late","Ready"))))</f>
        <v>Not Started</v>
      </c>
      <c r="V27" s="15">
        <v>46300</v>
      </c>
      <c r="W27" s="15">
        <v>46306</v>
      </c>
    </row>
    <row r="28" spans="1:23">
      <c r="A28" t="s">
        <v>218</v>
      </c>
      <c r="B28" t="s">
        <v>27</v>
      </c>
      <c r="C28" t="s">
        <v>28</v>
      </c>
      <c r="D28" t="s">
        <v>213</v>
      </c>
      <c r="E28" t="s">
        <v>214</v>
      </c>
      <c r="F28" t="s">
        <v>219</v>
      </c>
      <c r="G28" t="s">
        <v>212</v>
      </c>
      <c r="H28">
        <v>13</v>
      </c>
      <c r="I28">
        <v>14</v>
      </c>
      <c r="J28">
        <v>2</v>
      </c>
      <c r="K28">
        <v>2</v>
      </c>
      <c r="L28" t="s">
        <v>57</v>
      </c>
      <c r="M28" t="s">
        <v>220</v>
      </c>
      <c r="N28" t="s">
        <v>221</v>
      </c>
      <c r="P28" s="14">
        <f>IF(Control!$B$7&lt;H28,0,IF(Control!$B$7&gt;=I28,1,(Control!$B$7-H28+1)/J28))</f>
        <v>0</v>
      </c>
      <c r="Q28" s="14">
        <v>0</v>
      </c>
      <c r="R28" s="14">
        <f t="shared" si="0"/>
        <v>1.08991825613079E-2</v>
      </c>
      <c r="S28" s="14">
        <f t="shared" si="1"/>
        <v>0</v>
      </c>
      <c r="T28" s="17">
        <f t="shared" si="2"/>
        <v>0</v>
      </c>
      <c r="U28" t="str">
        <f>IF(Q28&gt;=1,"Complete",IF(Q28&gt;0,"In Progress",IF(Control!$B$7&lt;H28,"Not Started",IF(Control!$B$7&gt;I28,"Late","Ready"))))</f>
        <v>Not Started</v>
      </c>
      <c r="V28" s="15">
        <v>46300</v>
      </c>
      <c r="W28" s="15">
        <v>46313</v>
      </c>
    </row>
    <row r="29" spans="1:23">
      <c r="A29" t="s">
        <v>222</v>
      </c>
      <c r="B29" t="s">
        <v>27</v>
      </c>
      <c r="C29" t="s">
        <v>28</v>
      </c>
      <c r="D29" t="s">
        <v>213</v>
      </c>
      <c r="E29" t="s">
        <v>214</v>
      </c>
      <c r="F29" t="s">
        <v>223</v>
      </c>
      <c r="G29" t="s">
        <v>218</v>
      </c>
      <c r="H29">
        <v>14</v>
      </c>
      <c r="I29">
        <v>14</v>
      </c>
      <c r="J29">
        <v>1</v>
      </c>
      <c r="K29">
        <v>1</v>
      </c>
      <c r="L29" t="s">
        <v>57</v>
      </c>
      <c r="M29" t="s">
        <v>224</v>
      </c>
      <c r="N29" t="s">
        <v>225</v>
      </c>
      <c r="P29" s="14">
        <f>IF(Control!$B$7&lt;H29,0,IF(Control!$B$7&gt;=I29,1,(Control!$B$7-H29+1)/J29))</f>
        <v>0</v>
      </c>
      <c r="Q29" s="14">
        <v>0</v>
      </c>
      <c r="R29" s="14">
        <f t="shared" si="0"/>
        <v>5.4495912806539499E-3</v>
      </c>
      <c r="S29" s="14">
        <f t="shared" si="1"/>
        <v>0</v>
      </c>
      <c r="T29" s="17">
        <f t="shared" si="2"/>
        <v>0</v>
      </c>
      <c r="U29" t="str">
        <f>IF(Q29&gt;=1,"Complete",IF(Q29&gt;0,"In Progress",IF(Control!$B$7&lt;H29,"Not Started",IF(Control!$B$7&gt;I29,"Late","Ready"))))</f>
        <v>Not Started</v>
      </c>
      <c r="V29" s="15">
        <v>46307</v>
      </c>
      <c r="W29" s="15">
        <v>46313</v>
      </c>
    </row>
    <row r="30" spans="1:23">
      <c r="A30" t="s">
        <v>226</v>
      </c>
      <c r="B30" t="s">
        <v>27</v>
      </c>
      <c r="C30" t="s">
        <v>28</v>
      </c>
      <c r="D30" t="s">
        <v>227</v>
      </c>
      <c r="E30" t="s">
        <v>228</v>
      </c>
      <c r="F30" t="s">
        <v>229</v>
      </c>
      <c r="G30" t="s">
        <v>222</v>
      </c>
      <c r="H30">
        <v>15</v>
      </c>
      <c r="I30">
        <v>15</v>
      </c>
      <c r="J30">
        <v>1</v>
      </c>
      <c r="K30">
        <v>1</v>
      </c>
      <c r="L30" t="s">
        <v>57</v>
      </c>
      <c r="M30" t="s">
        <v>230</v>
      </c>
      <c r="N30" t="s">
        <v>231</v>
      </c>
      <c r="P30" s="14">
        <f>IF(Control!$B$7&lt;H30,0,IF(Control!$B$7&gt;=I30,1,(Control!$B$7-H30+1)/J30))</f>
        <v>0</v>
      </c>
      <c r="Q30" s="14">
        <v>0</v>
      </c>
      <c r="R30" s="14">
        <f t="shared" si="0"/>
        <v>5.4495912806539499E-3</v>
      </c>
      <c r="S30" s="14">
        <f t="shared" si="1"/>
        <v>0</v>
      </c>
      <c r="T30" s="17">
        <f t="shared" si="2"/>
        <v>0</v>
      </c>
      <c r="U30" t="str">
        <f>IF(Q30&gt;=1,"Complete",IF(Q30&gt;0,"In Progress",IF(Control!$B$7&lt;H30,"Not Started",IF(Control!$B$7&gt;I30,"Late","Ready"))))</f>
        <v>Not Started</v>
      </c>
      <c r="V30" s="15">
        <v>46314</v>
      </c>
      <c r="W30" s="15">
        <v>46320</v>
      </c>
    </row>
    <row r="31" spans="1:23">
      <c r="A31" t="s">
        <v>232</v>
      </c>
      <c r="B31" t="s">
        <v>27</v>
      </c>
      <c r="C31" t="s">
        <v>28</v>
      </c>
      <c r="D31" t="s">
        <v>227</v>
      </c>
      <c r="E31" t="s">
        <v>228</v>
      </c>
      <c r="F31" t="s">
        <v>233</v>
      </c>
      <c r="G31" t="s">
        <v>226</v>
      </c>
      <c r="H31">
        <v>15</v>
      </c>
      <c r="I31">
        <v>16</v>
      </c>
      <c r="J31">
        <v>2</v>
      </c>
      <c r="K31">
        <v>2</v>
      </c>
      <c r="L31" t="s">
        <v>57</v>
      </c>
      <c r="M31" t="s">
        <v>234</v>
      </c>
      <c r="N31" t="s">
        <v>235</v>
      </c>
      <c r="P31" s="14">
        <f>IF(Control!$B$7&lt;H31,0,IF(Control!$B$7&gt;=I31,1,(Control!$B$7-H31+1)/J31))</f>
        <v>0</v>
      </c>
      <c r="Q31" s="14">
        <v>0</v>
      </c>
      <c r="R31" s="14">
        <f t="shared" si="0"/>
        <v>1.08991825613079E-2</v>
      </c>
      <c r="S31" s="14">
        <f t="shared" si="1"/>
        <v>0</v>
      </c>
      <c r="T31" s="17">
        <f t="shared" si="2"/>
        <v>0</v>
      </c>
      <c r="U31" t="str">
        <f>IF(Q31&gt;=1,"Complete",IF(Q31&gt;0,"In Progress",IF(Control!$B$7&lt;H31,"Not Started",IF(Control!$B$7&gt;I31,"Late","Ready"))))</f>
        <v>Not Started</v>
      </c>
      <c r="V31" s="15">
        <v>46314</v>
      </c>
      <c r="W31" s="15">
        <v>46327</v>
      </c>
    </row>
    <row r="32" spans="1:23">
      <c r="A32" t="s">
        <v>236</v>
      </c>
      <c r="B32" t="s">
        <v>27</v>
      </c>
      <c r="C32" t="s">
        <v>28</v>
      </c>
      <c r="D32" t="s">
        <v>227</v>
      </c>
      <c r="E32" t="s">
        <v>228</v>
      </c>
      <c r="F32" t="s">
        <v>237</v>
      </c>
      <c r="G32" t="s">
        <v>232</v>
      </c>
      <c r="H32">
        <v>16</v>
      </c>
      <c r="I32">
        <v>17</v>
      </c>
      <c r="J32">
        <v>2</v>
      </c>
      <c r="K32">
        <v>2</v>
      </c>
      <c r="L32" t="s">
        <v>57</v>
      </c>
      <c r="M32" t="s">
        <v>238</v>
      </c>
      <c r="N32" t="s">
        <v>239</v>
      </c>
      <c r="P32" s="14">
        <f>IF(Control!$B$7&lt;H32,0,IF(Control!$B$7&gt;=I32,1,(Control!$B$7-H32+1)/J32))</f>
        <v>0</v>
      </c>
      <c r="Q32" s="14">
        <v>0</v>
      </c>
      <c r="R32" s="14">
        <f t="shared" si="0"/>
        <v>1.08991825613079E-2</v>
      </c>
      <c r="S32" s="14">
        <f t="shared" si="1"/>
        <v>0</v>
      </c>
      <c r="T32" s="17">
        <f t="shared" si="2"/>
        <v>0</v>
      </c>
      <c r="U32" t="str">
        <f>IF(Q32&gt;=1,"Complete",IF(Q32&gt;0,"In Progress",IF(Control!$B$7&lt;H32,"Not Started",IF(Control!$B$7&gt;I32,"Late","Ready"))))</f>
        <v>Not Started</v>
      </c>
      <c r="V32" s="15">
        <v>46321</v>
      </c>
      <c r="W32" s="15">
        <v>46334</v>
      </c>
    </row>
    <row r="33" spans="1:23">
      <c r="A33" t="s">
        <v>240</v>
      </c>
      <c r="B33" t="s">
        <v>27</v>
      </c>
      <c r="C33" t="s">
        <v>28</v>
      </c>
      <c r="D33" t="s">
        <v>241</v>
      </c>
      <c r="E33" t="s">
        <v>242</v>
      </c>
      <c r="F33" t="s">
        <v>243</v>
      </c>
      <c r="G33" t="s">
        <v>232</v>
      </c>
      <c r="H33">
        <v>18</v>
      </c>
      <c r="I33">
        <v>19</v>
      </c>
      <c r="J33">
        <v>2</v>
      </c>
      <c r="K33">
        <v>2</v>
      </c>
      <c r="L33" t="s">
        <v>57</v>
      </c>
      <c r="M33" t="s">
        <v>244</v>
      </c>
      <c r="N33" t="s">
        <v>245</v>
      </c>
      <c r="P33" s="14">
        <f>IF(Control!$B$7&lt;H33,0,IF(Control!$B$7&gt;=I33,1,(Control!$B$7-H33+1)/J33))</f>
        <v>0</v>
      </c>
      <c r="Q33" s="14">
        <v>0</v>
      </c>
      <c r="R33" s="14">
        <f t="shared" si="0"/>
        <v>1.08991825613079E-2</v>
      </c>
      <c r="S33" s="14">
        <f t="shared" si="1"/>
        <v>0</v>
      </c>
      <c r="T33" s="17">
        <f t="shared" si="2"/>
        <v>0</v>
      </c>
      <c r="U33" t="str">
        <f>IF(Q33&gt;=1,"Complete",IF(Q33&gt;0,"In Progress",IF(Control!$B$7&lt;H33,"Not Started",IF(Control!$B$7&gt;I33,"Late","Ready"))))</f>
        <v>Not Started</v>
      </c>
      <c r="V33" s="15">
        <v>46335</v>
      </c>
      <c r="W33" s="15">
        <v>46348</v>
      </c>
    </row>
    <row r="34" spans="1:23">
      <c r="A34" t="s">
        <v>246</v>
      </c>
      <c r="B34" t="s">
        <v>27</v>
      </c>
      <c r="C34" t="s">
        <v>28</v>
      </c>
      <c r="D34" t="s">
        <v>241</v>
      </c>
      <c r="E34" t="s">
        <v>242</v>
      </c>
      <c r="F34" t="s">
        <v>247</v>
      </c>
      <c r="G34" t="s">
        <v>240</v>
      </c>
      <c r="H34">
        <v>19</v>
      </c>
      <c r="I34">
        <v>20</v>
      </c>
      <c r="J34">
        <v>2</v>
      </c>
      <c r="K34">
        <v>2</v>
      </c>
      <c r="L34" t="s">
        <v>57</v>
      </c>
      <c r="M34" t="s">
        <v>248</v>
      </c>
      <c r="N34" t="s">
        <v>249</v>
      </c>
      <c r="P34" s="14">
        <f>IF(Control!$B$7&lt;H34,0,IF(Control!$B$7&gt;=I34,1,(Control!$B$7-H34+1)/J34))</f>
        <v>0</v>
      </c>
      <c r="Q34" s="14">
        <v>0</v>
      </c>
      <c r="R34" s="14">
        <f t="shared" si="0"/>
        <v>1.08991825613079E-2</v>
      </c>
      <c r="S34" s="14">
        <f t="shared" si="1"/>
        <v>0</v>
      </c>
      <c r="T34" s="17">
        <f t="shared" si="2"/>
        <v>0</v>
      </c>
      <c r="U34" t="str">
        <f>IF(Q34&gt;=1,"Complete",IF(Q34&gt;0,"In Progress",IF(Control!$B$7&lt;H34,"Not Started",IF(Control!$B$7&gt;I34,"Late","Ready"))))</f>
        <v>Not Started</v>
      </c>
      <c r="V34" s="15">
        <v>46342</v>
      </c>
      <c r="W34" s="15">
        <v>46355</v>
      </c>
    </row>
    <row r="35" spans="1:23">
      <c r="A35" t="s">
        <v>250</v>
      </c>
      <c r="B35" t="s">
        <v>27</v>
      </c>
      <c r="C35" t="s">
        <v>28</v>
      </c>
      <c r="D35" t="s">
        <v>241</v>
      </c>
      <c r="E35" t="s">
        <v>242</v>
      </c>
      <c r="F35" t="s">
        <v>251</v>
      </c>
      <c r="G35" t="s">
        <v>252</v>
      </c>
      <c r="H35">
        <v>20</v>
      </c>
      <c r="I35">
        <v>21</v>
      </c>
      <c r="J35">
        <v>2</v>
      </c>
      <c r="K35">
        <v>2</v>
      </c>
      <c r="L35" t="s">
        <v>57</v>
      </c>
      <c r="M35" t="s">
        <v>253</v>
      </c>
      <c r="N35" t="s">
        <v>254</v>
      </c>
      <c r="P35" s="14">
        <f>IF(Control!$B$7&lt;H35,0,IF(Control!$B$7&gt;=I35,1,(Control!$B$7-H35+1)/J35))</f>
        <v>0</v>
      </c>
      <c r="Q35" s="14">
        <v>0</v>
      </c>
      <c r="R35" s="14">
        <f t="shared" si="0"/>
        <v>1.08991825613079E-2</v>
      </c>
      <c r="S35" s="14">
        <f t="shared" si="1"/>
        <v>0</v>
      </c>
      <c r="T35" s="17">
        <f t="shared" si="2"/>
        <v>0</v>
      </c>
      <c r="U35" t="str">
        <f>IF(Q35&gt;=1,"Complete",IF(Q35&gt;0,"In Progress",IF(Control!$B$7&lt;H35,"Not Started",IF(Control!$B$7&gt;I35,"Late","Ready"))))</f>
        <v>Not Started</v>
      </c>
      <c r="V35" s="15">
        <v>46349</v>
      </c>
      <c r="W35" s="15">
        <v>46362</v>
      </c>
    </row>
    <row r="36" spans="1:23">
      <c r="A36" t="s">
        <v>255</v>
      </c>
      <c r="B36" t="s">
        <v>27</v>
      </c>
      <c r="C36" t="s">
        <v>28</v>
      </c>
      <c r="D36" t="s">
        <v>241</v>
      </c>
      <c r="E36" t="s">
        <v>242</v>
      </c>
      <c r="F36" t="s">
        <v>256</v>
      </c>
      <c r="G36" t="s">
        <v>257</v>
      </c>
      <c r="H36">
        <v>21</v>
      </c>
      <c r="I36">
        <v>21</v>
      </c>
      <c r="J36">
        <v>1</v>
      </c>
      <c r="K36">
        <v>1</v>
      </c>
      <c r="L36" t="s">
        <v>57</v>
      </c>
      <c r="M36" t="s">
        <v>258</v>
      </c>
      <c r="N36" t="s">
        <v>259</v>
      </c>
      <c r="P36" s="14">
        <f>IF(Control!$B$7&lt;H36,0,IF(Control!$B$7&gt;=I36,1,(Control!$B$7-H36+1)/J36))</f>
        <v>0</v>
      </c>
      <c r="Q36" s="14">
        <v>0</v>
      </c>
      <c r="R36" s="14">
        <f t="shared" si="0"/>
        <v>5.4495912806539499E-3</v>
      </c>
      <c r="S36" s="14">
        <f t="shared" si="1"/>
        <v>0</v>
      </c>
      <c r="T36" s="17">
        <f t="shared" si="2"/>
        <v>0</v>
      </c>
      <c r="U36" t="str">
        <f>IF(Q36&gt;=1,"Complete",IF(Q36&gt;0,"In Progress",IF(Control!$B$7&lt;H36,"Not Started",IF(Control!$B$7&gt;I36,"Late","Ready"))))</f>
        <v>Not Started</v>
      </c>
      <c r="V36" s="15">
        <v>46356</v>
      </c>
      <c r="W36" s="15">
        <v>46362</v>
      </c>
    </row>
    <row r="37" spans="1:23">
      <c r="A37" t="s">
        <v>260</v>
      </c>
      <c r="B37" t="s">
        <v>27</v>
      </c>
      <c r="C37" t="s">
        <v>28</v>
      </c>
      <c r="D37" t="s">
        <v>261</v>
      </c>
      <c r="E37" t="s">
        <v>262</v>
      </c>
      <c r="F37" t="s">
        <v>263</v>
      </c>
      <c r="G37" t="s">
        <v>222</v>
      </c>
      <c r="H37">
        <v>15</v>
      </c>
      <c r="I37">
        <v>16</v>
      </c>
      <c r="J37">
        <v>2</v>
      </c>
      <c r="K37">
        <v>2</v>
      </c>
      <c r="L37" t="s">
        <v>57</v>
      </c>
      <c r="M37" t="s">
        <v>264</v>
      </c>
      <c r="N37" t="s">
        <v>265</v>
      </c>
      <c r="P37" s="14">
        <f>IF(Control!$B$7&lt;H37,0,IF(Control!$B$7&gt;=I37,1,(Control!$B$7-H37+1)/J37))</f>
        <v>0</v>
      </c>
      <c r="Q37" s="14">
        <v>0</v>
      </c>
      <c r="R37" s="14">
        <f t="shared" ref="R37:R68" si="3">K37/SUM($K$5:$K$137)</f>
        <v>1.08991825613079E-2</v>
      </c>
      <c r="S37" s="14">
        <f t="shared" ref="S37:S68" si="4">P37*R37</f>
        <v>0</v>
      </c>
      <c r="T37" s="17">
        <f t="shared" ref="T37:T68" si="5">Q37*R37</f>
        <v>0</v>
      </c>
      <c r="U37" t="str">
        <f>IF(Q37&gt;=1,"Complete",IF(Q37&gt;0,"In Progress",IF(Control!$B$7&lt;H37,"Not Started",IF(Control!$B$7&gt;I37,"Late","Ready"))))</f>
        <v>Not Started</v>
      </c>
      <c r="V37" s="15">
        <v>46314</v>
      </c>
      <c r="W37" s="15">
        <v>46327</v>
      </c>
    </row>
    <row r="38" spans="1:23">
      <c r="A38" t="s">
        <v>266</v>
      </c>
      <c r="B38" t="s">
        <v>27</v>
      </c>
      <c r="C38" t="s">
        <v>28</v>
      </c>
      <c r="D38" t="s">
        <v>261</v>
      </c>
      <c r="E38" t="s">
        <v>262</v>
      </c>
      <c r="F38" t="s">
        <v>267</v>
      </c>
      <c r="G38" t="s">
        <v>260</v>
      </c>
      <c r="H38">
        <v>17</v>
      </c>
      <c r="I38">
        <v>17</v>
      </c>
      <c r="J38">
        <v>1</v>
      </c>
      <c r="K38">
        <v>1</v>
      </c>
      <c r="L38" t="s">
        <v>57</v>
      </c>
      <c r="M38" t="s">
        <v>268</v>
      </c>
      <c r="N38" t="s">
        <v>269</v>
      </c>
      <c r="P38" s="14">
        <f>IF(Control!$B$7&lt;H38,0,IF(Control!$B$7&gt;=I38,1,(Control!$B$7-H38+1)/J38))</f>
        <v>0</v>
      </c>
      <c r="Q38" s="14">
        <v>0</v>
      </c>
      <c r="R38" s="14">
        <f t="shared" si="3"/>
        <v>5.4495912806539499E-3</v>
      </c>
      <c r="S38" s="14">
        <f t="shared" si="4"/>
        <v>0</v>
      </c>
      <c r="T38" s="17">
        <f t="shared" si="5"/>
        <v>0</v>
      </c>
      <c r="U38" t="str">
        <f>IF(Q38&gt;=1,"Complete",IF(Q38&gt;0,"In Progress",IF(Control!$B$7&lt;H38,"Not Started",IF(Control!$B$7&gt;I38,"Late","Ready"))))</f>
        <v>Not Started</v>
      </c>
      <c r="V38" s="15">
        <v>46328</v>
      </c>
      <c r="W38" s="15">
        <v>46334</v>
      </c>
    </row>
    <row r="39" spans="1:23">
      <c r="A39" t="s">
        <v>270</v>
      </c>
      <c r="B39" t="s">
        <v>27</v>
      </c>
      <c r="C39" t="s">
        <v>28</v>
      </c>
      <c r="D39" t="s">
        <v>261</v>
      </c>
      <c r="E39" t="s">
        <v>262</v>
      </c>
      <c r="F39" t="s">
        <v>271</v>
      </c>
      <c r="G39" t="s">
        <v>272</v>
      </c>
      <c r="H39">
        <v>18</v>
      </c>
      <c r="I39">
        <v>18</v>
      </c>
      <c r="J39">
        <v>1</v>
      </c>
      <c r="K39">
        <v>1</v>
      </c>
      <c r="L39" t="s">
        <v>57</v>
      </c>
      <c r="M39" t="s">
        <v>273</v>
      </c>
      <c r="N39" t="s">
        <v>274</v>
      </c>
      <c r="P39" s="14">
        <f>IF(Control!$B$7&lt;H39,0,IF(Control!$B$7&gt;=I39,1,(Control!$B$7-H39+1)/J39))</f>
        <v>0</v>
      </c>
      <c r="Q39" s="14">
        <v>0</v>
      </c>
      <c r="R39" s="14">
        <f t="shared" si="3"/>
        <v>5.4495912806539499E-3</v>
      </c>
      <c r="S39" s="14">
        <f t="shared" si="4"/>
        <v>0</v>
      </c>
      <c r="T39" s="17">
        <f t="shared" si="5"/>
        <v>0</v>
      </c>
      <c r="U39" t="str">
        <f>IF(Q39&gt;=1,"Complete",IF(Q39&gt;0,"In Progress",IF(Control!$B$7&lt;H39,"Not Started",IF(Control!$B$7&gt;I39,"Late","Ready"))))</f>
        <v>Not Started</v>
      </c>
      <c r="V39" s="15">
        <v>46335</v>
      </c>
      <c r="W39" s="15">
        <v>46341</v>
      </c>
    </row>
    <row r="40" spans="1:23">
      <c r="A40" t="s">
        <v>275</v>
      </c>
      <c r="B40" t="s">
        <v>27</v>
      </c>
      <c r="C40" t="s">
        <v>28</v>
      </c>
      <c r="D40" t="s">
        <v>261</v>
      </c>
      <c r="E40" t="s">
        <v>262</v>
      </c>
      <c r="F40" t="s">
        <v>276</v>
      </c>
      <c r="G40" t="s">
        <v>270</v>
      </c>
      <c r="H40">
        <v>18</v>
      </c>
      <c r="I40">
        <v>18</v>
      </c>
      <c r="J40">
        <v>1</v>
      </c>
      <c r="K40">
        <v>1</v>
      </c>
      <c r="L40" t="s">
        <v>57</v>
      </c>
      <c r="M40" t="s">
        <v>277</v>
      </c>
      <c r="N40" t="s">
        <v>278</v>
      </c>
      <c r="P40" s="14">
        <f>IF(Control!$B$7&lt;H40,0,IF(Control!$B$7&gt;=I40,1,(Control!$B$7-H40+1)/J40))</f>
        <v>0</v>
      </c>
      <c r="Q40" s="14">
        <v>0</v>
      </c>
      <c r="R40" s="14">
        <f t="shared" si="3"/>
        <v>5.4495912806539499E-3</v>
      </c>
      <c r="S40" s="14">
        <f t="shared" si="4"/>
        <v>0</v>
      </c>
      <c r="T40" s="17">
        <f t="shared" si="5"/>
        <v>0</v>
      </c>
      <c r="U40" t="str">
        <f>IF(Q40&gt;=1,"Complete",IF(Q40&gt;0,"In Progress",IF(Control!$B$7&lt;H40,"Not Started",IF(Control!$B$7&gt;I40,"Late","Ready"))))</f>
        <v>Not Started</v>
      </c>
      <c r="V40" s="15">
        <v>46335</v>
      </c>
      <c r="W40" s="15">
        <v>46341</v>
      </c>
    </row>
    <row r="41" spans="1:23">
      <c r="A41" t="s">
        <v>279</v>
      </c>
      <c r="B41" t="s">
        <v>27</v>
      </c>
      <c r="C41" t="s">
        <v>28</v>
      </c>
      <c r="D41" t="s">
        <v>280</v>
      </c>
      <c r="E41" t="s">
        <v>281</v>
      </c>
      <c r="F41" t="s">
        <v>282</v>
      </c>
      <c r="G41" t="s">
        <v>283</v>
      </c>
      <c r="H41">
        <v>22</v>
      </c>
      <c r="I41">
        <v>22</v>
      </c>
      <c r="J41">
        <v>1</v>
      </c>
      <c r="K41">
        <v>1</v>
      </c>
      <c r="L41" t="s">
        <v>57</v>
      </c>
      <c r="M41" t="s">
        <v>284</v>
      </c>
      <c r="N41" t="s">
        <v>285</v>
      </c>
      <c r="P41" s="14">
        <f>IF(Control!$B$7&lt;H41,0,IF(Control!$B$7&gt;=I41,1,(Control!$B$7-H41+1)/J41))</f>
        <v>0</v>
      </c>
      <c r="Q41" s="14">
        <v>0</v>
      </c>
      <c r="R41" s="14">
        <f t="shared" si="3"/>
        <v>5.4495912806539499E-3</v>
      </c>
      <c r="S41" s="14">
        <f t="shared" si="4"/>
        <v>0</v>
      </c>
      <c r="T41" s="17">
        <f t="shared" si="5"/>
        <v>0</v>
      </c>
      <c r="U41" t="str">
        <f>IF(Q41&gt;=1,"Complete",IF(Q41&gt;0,"In Progress",IF(Control!$B$7&lt;H41,"Not Started",IF(Control!$B$7&gt;I41,"Late","Ready"))))</f>
        <v>Not Started</v>
      </c>
      <c r="V41" s="15">
        <v>46363</v>
      </c>
      <c r="W41" s="15">
        <v>46369</v>
      </c>
    </row>
    <row r="42" spans="1:23">
      <c r="A42" t="s">
        <v>286</v>
      </c>
      <c r="B42" t="s">
        <v>27</v>
      </c>
      <c r="C42" t="s">
        <v>28</v>
      </c>
      <c r="D42" t="s">
        <v>280</v>
      </c>
      <c r="E42" t="s">
        <v>281</v>
      </c>
      <c r="F42" t="s">
        <v>287</v>
      </c>
      <c r="G42" t="s">
        <v>279</v>
      </c>
      <c r="H42">
        <v>22</v>
      </c>
      <c r="I42">
        <v>23</v>
      </c>
      <c r="J42">
        <v>2</v>
      </c>
      <c r="K42">
        <v>2</v>
      </c>
      <c r="L42" t="s">
        <v>57</v>
      </c>
      <c r="M42" t="s">
        <v>288</v>
      </c>
      <c r="N42" t="s">
        <v>289</v>
      </c>
      <c r="P42" s="14">
        <f>IF(Control!$B$7&lt;H42,0,IF(Control!$B$7&gt;=I42,1,(Control!$B$7-H42+1)/J42))</f>
        <v>0</v>
      </c>
      <c r="Q42" s="14">
        <v>0</v>
      </c>
      <c r="R42" s="14">
        <f t="shared" si="3"/>
        <v>1.08991825613079E-2</v>
      </c>
      <c r="S42" s="14">
        <f t="shared" si="4"/>
        <v>0</v>
      </c>
      <c r="T42" s="17">
        <f t="shared" si="5"/>
        <v>0</v>
      </c>
      <c r="U42" t="str">
        <f>IF(Q42&gt;=1,"Complete",IF(Q42&gt;0,"In Progress",IF(Control!$B$7&lt;H42,"Not Started",IF(Control!$B$7&gt;I42,"Late","Ready"))))</f>
        <v>Not Started</v>
      </c>
      <c r="V42" s="15">
        <v>46363</v>
      </c>
      <c r="W42" s="15">
        <v>46376</v>
      </c>
    </row>
    <row r="43" spans="1:23">
      <c r="A43" t="s">
        <v>290</v>
      </c>
      <c r="B43" t="s">
        <v>27</v>
      </c>
      <c r="C43" t="s">
        <v>28</v>
      </c>
      <c r="D43" t="s">
        <v>280</v>
      </c>
      <c r="E43" t="s">
        <v>281</v>
      </c>
      <c r="F43" t="s">
        <v>291</v>
      </c>
      <c r="G43" t="s">
        <v>286</v>
      </c>
      <c r="H43">
        <v>23</v>
      </c>
      <c r="I43">
        <v>24</v>
      </c>
      <c r="J43">
        <v>2</v>
      </c>
      <c r="K43">
        <v>2</v>
      </c>
      <c r="L43" t="s">
        <v>57</v>
      </c>
      <c r="M43" t="s">
        <v>292</v>
      </c>
      <c r="N43" t="s">
        <v>293</v>
      </c>
      <c r="P43" s="14">
        <f>IF(Control!$B$7&lt;H43,0,IF(Control!$B$7&gt;=I43,1,(Control!$B$7-H43+1)/J43))</f>
        <v>0</v>
      </c>
      <c r="Q43" s="14">
        <v>0</v>
      </c>
      <c r="R43" s="14">
        <f t="shared" si="3"/>
        <v>1.08991825613079E-2</v>
      </c>
      <c r="S43" s="14">
        <f t="shared" si="4"/>
        <v>0</v>
      </c>
      <c r="T43" s="17">
        <f t="shared" si="5"/>
        <v>0</v>
      </c>
      <c r="U43" t="str">
        <f>IF(Q43&gt;=1,"Complete",IF(Q43&gt;0,"In Progress",IF(Control!$B$7&lt;H43,"Not Started",IF(Control!$B$7&gt;I43,"Late","Ready"))))</f>
        <v>Not Started</v>
      </c>
      <c r="V43" s="15">
        <v>46370</v>
      </c>
      <c r="W43" s="15">
        <v>46383</v>
      </c>
    </row>
    <row r="44" spans="1:23">
      <c r="A44" t="s">
        <v>294</v>
      </c>
      <c r="B44" t="s">
        <v>27</v>
      </c>
      <c r="C44" t="s">
        <v>28</v>
      </c>
      <c r="D44" t="s">
        <v>280</v>
      </c>
      <c r="E44" t="s">
        <v>281</v>
      </c>
      <c r="F44" t="s">
        <v>295</v>
      </c>
      <c r="G44" t="s">
        <v>290</v>
      </c>
      <c r="H44">
        <v>24</v>
      </c>
      <c r="I44">
        <v>24</v>
      </c>
      <c r="J44">
        <v>1</v>
      </c>
      <c r="K44">
        <v>1</v>
      </c>
      <c r="L44" t="s">
        <v>57</v>
      </c>
      <c r="M44" t="s">
        <v>296</v>
      </c>
      <c r="N44" t="s">
        <v>297</v>
      </c>
      <c r="P44" s="14">
        <f>IF(Control!$B$7&lt;H44,0,IF(Control!$B$7&gt;=I44,1,(Control!$B$7-H44+1)/J44))</f>
        <v>0</v>
      </c>
      <c r="Q44" s="14">
        <v>0</v>
      </c>
      <c r="R44" s="14">
        <f t="shared" si="3"/>
        <v>5.4495912806539499E-3</v>
      </c>
      <c r="S44" s="14">
        <f t="shared" si="4"/>
        <v>0</v>
      </c>
      <c r="T44" s="17">
        <f t="shared" si="5"/>
        <v>0</v>
      </c>
      <c r="U44" t="str">
        <f>IF(Q44&gt;=1,"Complete",IF(Q44&gt;0,"In Progress",IF(Control!$B$7&lt;H44,"Not Started",IF(Control!$B$7&gt;I44,"Late","Ready"))))</f>
        <v>Not Started</v>
      </c>
      <c r="V44" s="15">
        <v>46377</v>
      </c>
      <c r="W44" s="15">
        <v>46383</v>
      </c>
    </row>
    <row r="45" spans="1:23">
      <c r="A45" t="s">
        <v>298</v>
      </c>
      <c r="B45" t="s">
        <v>27</v>
      </c>
      <c r="C45" t="s">
        <v>28</v>
      </c>
      <c r="D45" t="s">
        <v>299</v>
      </c>
      <c r="E45" t="s">
        <v>300</v>
      </c>
      <c r="F45" t="s">
        <v>301</v>
      </c>
      <c r="G45" t="s">
        <v>222</v>
      </c>
      <c r="H45">
        <v>22</v>
      </c>
      <c r="I45">
        <v>22</v>
      </c>
      <c r="J45">
        <v>1</v>
      </c>
      <c r="K45">
        <v>1</v>
      </c>
      <c r="L45" t="s">
        <v>57</v>
      </c>
      <c r="M45" t="s">
        <v>302</v>
      </c>
      <c r="N45" t="s">
        <v>303</v>
      </c>
      <c r="P45" s="14">
        <f>IF(Control!$B$7&lt;H45,0,IF(Control!$B$7&gt;=I45,1,(Control!$B$7-H45+1)/J45))</f>
        <v>0</v>
      </c>
      <c r="Q45" s="14">
        <v>0</v>
      </c>
      <c r="R45" s="14">
        <f t="shared" si="3"/>
        <v>5.4495912806539499E-3</v>
      </c>
      <c r="S45" s="14">
        <f t="shared" si="4"/>
        <v>0</v>
      </c>
      <c r="T45" s="17">
        <f t="shared" si="5"/>
        <v>0</v>
      </c>
      <c r="U45" t="str">
        <f>IF(Q45&gt;=1,"Complete",IF(Q45&gt;0,"In Progress",IF(Control!$B$7&lt;H45,"Not Started",IF(Control!$B$7&gt;I45,"Late","Ready"))))</f>
        <v>Not Started</v>
      </c>
      <c r="V45" s="15">
        <v>46363</v>
      </c>
      <c r="W45" s="15">
        <v>46369</v>
      </c>
    </row>
    <row r="46" spans="1:23">
      <c r="A46" t="s">
        <v>304</v>
      </c>
      <c r="B46" t="s">
        <v>27</v>
      </c>
      <c r="C46" t="s">
        <v>28</v>
      </c>
      <c r="D46" t="s">
        <v>299</v>
      </c>
      <c r="E46" t="s">
        <v>300</v>
      </c>
      <c r="F46" t="s">
        <v>305</v>
      </c>
      <c r="G46" t="s">
        <v>298</v>
      </c>
      <c r="H46">
        <v>23</v>
      </c>
      <c r="I46">
        <v>24</v>
      </c>
      <c r="J46">
        <v>2</v>
      </c>
      <c r="K46">
        <v>2</v>
      </c>
      <c r="L46" t="s">
        <v>57</v>
      </c>
      <c r="M46" t="s">
        <v>306</v>
      </c>
      <c r="N46" t="s">
        <v>307</v>
      </c>
      <c r="P46" s="14">
        <f>IF(Control!$B$7&lt;H46,0,IF(Control!$B$7&gt;=I46,1,(Control!$B$7-H46+1)/J46))</f>
        <v>0</v>
      </c>
      <c r="Q46" s="14">
        <v>0</v>
      </c>
      <c r="R46" s="14">
        <f t="shared" si="3"/>
        <v>1.08991825613079E-2</v>
      </c>
      <c r="S46" s="14">
        <f t="shared" si="4"/>
        <v>0</v>
      </c>
      <c r="T46" s="17">
        <f t="shared" si="5"/>
        <v>0</v>
      </c>
      <c r="U46" t="str">
        <f>IF(Q46&gt;=1,"Complete",IF(Q46&gt;0,"In Progress",IF(Control!$B$7&lt;H46,"Not Started",IF(Control!$B$7&gt;I46,"Late","Ready"))))</f>
        <v>Not Started</v>
      </c>
      <c r="V46" s="15">
        <v>46370</v>
      </c>
      <c r="W46" s="15">
        <v>46383</v>
      </c>
    </row>
    <row r="47" spans="1:23">
      <c r="A47" t="s">
        <v>308</v>
      </c>
      <c r="B47" t="s">
        <v>27</v>
      </c>
      <c r="C47" t="s">
        <v>28</v>
      </c>
      <c r="D47" t="s">
        <v>299</v>
      </c>
      <c r="E47" t="s">
        <v>300</v>
      </c>
      <c r="F47" t="s">
        <v>309</v>
      </c>
      <c r="G47" t="s">
        <v>310</v>
      </c>
      <c r="H47">
        <v>24</v>
      </c>
      <c r="I47">
        <v>25</v>
      </c>
      <c r="J47">
        <v>2</v>
      </c>
      <c r="K47">
        <v>2</v>
      </c>
      <c r="L47" t="s">
        <v>57</v>
      </c>
      <c r="M47" t="s">
        <v>311</v>
      </c>
      <c r="N47" t="s">
        <v>312</v>
      </c>
      <c r="P47" s="14">
        <f>IF(Control!$B$7&lt;H47,0,IF(Control!$B$7&gt;=I47,1,(Control!$B$7-H47+1)/J47))</f>
        <v>0</v>
      </c>
      <c r="Q47" s="14">
        <v>0</v>
      </c>
      <c r="R47" s="14">
        <f t="shared" si="3"/>
        <v>1.08991825613079E-2</v>
      </c>
      <c r="S47" s="14">
        <f t="shared" si="4"/>
        <v>0</v>
      </c>
      <c r="T47" s="17">
        <f t="shared" si="5"/>
        <v>0</v>
      </c>
      <c r="U47" t="str">
        <f>IF(Q47&gt;=1,"Complete",IF(Q47&gt;0,"In Progress",IF(Control!$B$7&lt;H47,"Not Started",IF(Control!$B$7&gt;I47,"Late","Ready"))))</f>
        <v>Not Started</v>
      </c>
      <c r="V47" s="15">
        <v>46377</v>
      </c>
      <c r="W47" s="15">
        <v>46390</v>
      </c>
    </row>
    <row r="48" spans="1:23">
      <c r="A48" t="s">
        <v>313</v>
      </c>
      <c r="B48" t="s">
        <v>27</v>
      </c>
      <c r="C48" t="s">
        <v>28</v>
      </c>
      <c r="D48" t="s">
        <v>299</v>
      </c>
      <c r="E48" t="s">
        <v>300</v>
      </c>
      <c r="F48" t="s">
        <v>314</v>
      </c>
      <c r="G48" t="s">
        <v>308</v>
      </c>
      <c r="H48">
        <v>25</v>
      </c>
      <c r="I48">
        <v>25</v>
      </c>
      <c r="J48">
        <v>1</v>
      </c>
      <c r="K48">
        <v>1</v>
      </c>
      <c r="L48" t="s">
        <v>57</v>
      </c>
      <c r="M48" t="s">
        <v>315</v>
      </c>
      <c r="N48" t="s">
        <v>316</v>
      </c>
      <c r="P48" s="14">
        <f>IF(Control!$B$7&lt;H48,0,IF(Control!$B$7&gt;=I48,1,(Control!$B$7-H48+1)/J48))</f>
        <v>0</v>
      </c>
      <c r="Q48" s="14">
        <v>0</v>
      </c>
      <c r="R48" s="14">
        <f t="shared" si="3"/>
        <v>5.4495912806539499E-3</v>
      </c>
      <c r="S48" s="14">
        <f t="shared" si="4"/>
        <v>0</v>
      </c>
      <c r="T48" s="17">
        <f t="shared" si="5"/>
        <v>0</v>
      </c>
      <c r="U48" t="str">
        <f>IF(Q48&gt;=1,"Complete",IF(Q48&gt;0,"In Progress",IF(Control!$B$7&lt;H48,"Not Started",IF(Control!$B$7&gt;I48,"Late","Ready"))))</f>
        <v>Not Started</v>
      </c>
      <c r="V48" s="15">
        <v>46384</v>
      </c>
      <c r="W48" s="15">
        <v>46390</v>
      </c>
    </row>
    <row r="49" spans="1:23">
      <c r="A49" t="s">
        <v>317</v>
      </c>
      <c r="B49" t="s">
        <v>27</v>
      </c>
      <c r="C49" t="s">
        <v>28</v>
      </c>
      <c r="D49" t="s">
        <v>318</v>
      </c>
      <c r="E49" t="s">
        <v>319</v>
      </c>
      <c r="F49" t="s">
        <v>320</v>
      </c>
      <c r="G49" t="s">
        <v>279</v>
      </c>
      <c r="H49">
        <v>26</v>
      </c>
      <c r="I49">
        <v>26</v>
      </c>
      <c r="J49">
        <v>1</v>
      </c>
      <c r="K49">
        <v>1</v>
      </c>
      <c r="L49" t="s">
        <v>57</v>
      </c>
      <c r="M49" t="s">
        <v>321</v>
      </c>
      <c r="N49" t="s">
        <v>322</v>
      </c>
      <c r="P49" s="14">
        <f>IF(Control!$B$7&lt;H49,0,IF(Control!$B$7&gt;=I49,1,(Control!$B$7-H49+1)/J49))</f>
        <v>0</v>
      </c>
      <c r="Q49" s="14">
        <v>0</v>
      </c>
      <c r="R49" s="14">
        <f t="shared" si="3"/>
        <v>5.4495912806539499E-3</v>
      </c>
      <c r="S49" s="14">
        <f t="shared" si="4"/>
        <v>0</v>
      </c>
      <c r="T49" s="17">
        <f t="shared" si="5"/>
        <v>0</v>
      </c>
      <c r="U49" t="str">
        <f>IF(Q49&gt;=1,"Complete",IF(Q49&gt;0,"In Progress",IF(Control!$B$7&lt;H49,"Not Started",IF(Control!$B$7&gt;I49,"Late","Ready"))))</f>
        <v>Not Started</v>
      </c>
      <c r="V49" s="15">
        <v>46391</v>
      </c>
      <c r="W49" s="15">
        <v>46397</v>
      </c>
    </row>
    <row r="50" spans="1:23">
      <c r="A50" t="s">
        <v>323</v>
      </c>
      <c r="B50" t="s">
        <v>27</v>
      </c>
      <c r="C50" t="s">
        <v>28</v>
      </c>
      <c r="D50" t="s">
        <v>318</v>
      </c>
      <c r="E50" t="s">
        <v>319</v>
      </c>
      <c r="F50" t="s">
        <v>324</v>
      </c>
      <c r="G50" t="s">
        <v>317</v>
      </c>
      <c r="H50">
        <v>26</v>
      </c>
      <c r="I50">
        <v>27</v>
      </c>
      <c r="J50">
        <v>2</v>
      </c>
      <c r="K50">
        <v>2</v>
      </c>
      <c r="L50" t="s">
        <v>57</v>
      </c>
      <c r="M50" t="s">
        <v>325</v>
      </c>
      <c r="N50" t="s">
        <v>326</v>
      </c>
      <c r="P50" s="14">
        <f>IF(Control!$B$7&lt;H50,0,IF(Control!$B$7&gt;=I50,1,(Control!$B$7-H50+1)/J50))</f>
        <v>0</v>
      </c>
      <c r="Q50" s="14">
        <v>0</v>
      </c>
      <c r="R50" s="14">
        <f t="shared" si="3"/>
        <v>1.08991825613079E-2</v>
      </c>
      <c r="S50" s="14">
        <f t="shared" si="4"/>
        <v>0</v>
      </c>
      <c r="T50" s="17">
        <f t="shared" si="5"/>
        <v>0</v>
      </c>
      <c r="U50" t="str">
        <f>IF(Q50&gt;=1,"Complete",IF(Q50&gt;0,"In Progress",IF(Control!$B$7&lt;H50,"Not Started",IF(Control!$B$7&gt;I50,"Late","Ready"))))</f>
        <v>Not Started</v>
      </c>
      <c r="V50" s="15">
        <v>46391</v>
      </c>
      <c r="W50" s="15">
        <v>46404</v>
      </c>
    </row>
    <row r="51" spans="1:23">
      <c r="A51" t="s">
        <v>327</v>
      </c>
      <c r="B51" t="s">
        <v>27</v>
      </c>
      <c r="C51" t="s">
        <v>28</v>
      </c>
      <c r="D51" t="s">
        <v>318</v>
      </c>
      <c r="E51" t="s">
        <v>319</v>
      </c>
      <c r="F51" t="s">
        <v>328</v>
      </c>
      <c r="G51" t="s">
        <v>323</v>
      </c>
      <c r="H51">
        <v>27</v>
      </c>
      <c r="I51">
        <v>28</v>
      </c>
      <c r="J51">
        <v>2</v>
      </c>
      <c r="K51">
        <v>2</v>
      </c>
      <c r="L51" t="s">
        <v>57</v>
      </c>
      <c r="M51" t="s">
        <v>329</v>
      </c>
      <c r="N51" t="s">
        <v>330</v>
      </c>
      <c r="P51" s="14">
        <f>IF(Control!$B$7&lt;H51,0,IF(Control!$B$7&gt;=I51,1,(Control!$B$7-H51+1)/J51))</f>
        <v>0</v>
      </c>
      <c r="Q51" s="14">
        <v>0</v>
      </c>
      <c r="R51" s="14">
        <f t="shared" si="3"/>
        <v>1.08991825613079E-2</v>
      </c>
      <c r="S51" s="14">
        <f t="shared" si="4"/>
        <v>0</v>
      </c>
      <c r="T51" s="17">
        <f t="shared" si="5"/>
        <v>0</v>
      </c>
      <c r="U51" t="str">
        <f>IF(Q51&gt;=1,"Complete",IF(Q51&gt;0,"In Progress",IF(Control!$B$7&lt;H51,"Not Started",IF(Control!$B$7&gt;I51,"Late","Ready"))))</f>
        <v>Not Started</v>
      </c>
      <c r="V51" s="15">
        <v>46398</v>
      </c>
      <c r="W51" s="15">
        <v>46411</v>
      </c>
    </row>
    <row r="52" spans="1:23">
      <c r="A52" t="s">
        <v>331</v>
      </c>
      <c r="B52" t="s">
        <v>27</v>
      </c>
      <c r="C52" t="s">
        <v>28</v>
      </c>
      <c r="D52" t="s">
        <v>318</v>
      </c>
      <c r="E52" t="s">
        <v>319</v>
      </c>
      <c r="F52" t="s">
        <v>332</v>
      </c>
      <c r="G52" t="s">
        <v>327</v>
      </c>
      <c r="H52">
        <v>28</v>
      </c>
      <c r="I52">
        <v>28</v>
      </c>
      <c r="J52">
        <v>1</v>
      </c>
      <c r="K52">
        <v>1</v>
      </c>
      <c r="L52" t="s">
        <v>57</v>
      </c>
      <c r="M52" t="s">
        <v>333</v>
      </c>
      <c r="N52" t="s">
        <v>334</v>
      </c>
      <c r="P52" s="14">
        <f>IF(Control!$B$7&lt;H52,0,IF(Control!$B$7&gt;=I52,1,(Control!$B$7-H52+1)/J52))</f>
        <v>0</v>
      </c>
      <c r="Q52" s="14">
        <v>0</v>
      </c>
      <c r="R52" s="14">
        <f t="shared" si="3"/>
        <v>5.4495912806539499E-3</v>
      </c>
      <c r="S52" s="14">
        <f t="shared" si="4"/>
        <v>0</v>
      </c>
      <c r="T52" s="17">
        <f t="shared" si="5"/>
        <v>0</v>
      </c>
      <c r="U52" t="str">
        <f>IF(Q52&gt;=1,"Complete",IF(Q52&gt;0,"In Progress",IF(Control!$B$7&lt;H52,"Not Started",IF(Control!$B$7&gt;I52,"Late","Ready"))))</f>
        <v>Not Started</v>
      </c>
      <c r="V52" s="15">
        <v>46405</v>
      </c>
      <c r="W52" s="15">
        <v>46411</v>
      </c>
    </row>
    <row r="53" spans="1:23">
      <c r="A53" t="s">
        <v>335</v>
      </c>
      <c r="B53" t="s">
        <v>27</v>
      </c>
      <c r="C53" t="s">
        <v>28</v>
      </c>
      <c r="D53" t="s">
        <v>336</v>
      </c>
      <c r="E53" t="s">
        <v>337</v>
      </c>
      <c r="F53" t="s">
        <v>338</v>
      </c>
      <c r="G53" t="s">
        <v>286</v>
      </c>
      <c r="H53">
        <v>29</v>
      </c>
      <c r="I53">
        <v>29</v>
      </c>
      <c r="J53">
        <v>1</v>
      </c>
      <c r="K53">
        <v>1</v>
      </c>
      <c r="L53" t="s">
        <v>57</v>
      </c>
      <c r="M53" t="s">
        <v>339</v>
      </c>
      <c r="N53" t="s">
        <v>340</v>
      </c>
      <c r="P53" s="14">
        <f>IF(Control!$B$7&lt;H53,0,IF(Control!$B$7&gt;=I53,1,(Control!$B$7-H53+1)/J53))</f>
        <v>0</v>
      </c>
      <c r="Q53" s="14">
        <v>0</v>
      </c>
      <c r="R53" s="14">
        <f t="shared" si="3"/>
        <v>5.4495912806539499E-3</v>
      </c>
      <c r="S53" s="14">
        <f t="shared" si="4"/>
        <v>0</v>
      </c>
      <c r="T53" s="17">
        <f t="shared" si="5"/>
        <v>0</v>
      </c>
      <c r="U53" t="str">
        <f>IF(Q53&gt;=1,"Complete",IF(Q53&gt;0,"In Progress",IF(Control!$B$7&lt;H53,"Not Started",IF(Control!$B$7&gt;I53,"Late","Ready"))))</f>
        <v>Not Started</v>
      </c>
      <c r="V53" s="15">
        <v>46412</v>
      </c>
      <c r="W53" s="15">
        <v>46418</v>
      </c>
    </row>
    <row r="54" spans="1:23">
      <c r="A54" t="s">
        <v>341</v>
      </c>
      <c r="B54" t="s">
        <v>27</v>
      </c>
      <c r="C54" t="s">
        <v>28</v>
      </c>
      <c r="D54" t="s">
        <v>336</v>
      </c>
      <c r="E54" t="s">
        <v>337</v>
      </c>
      <c r="F54" t="s">
        <v>342</v>
      </c>
      <c r="G54" t="s">
        <v>343</v>
      </c>
      <c r="H54">
        <v>29</v>
      </c>
      <c r="I54">
        <v>30</v>
      </c>
      <c r="J54">
        <v>2</v>
      </c>
      <c r="K54">
        <v>2</v>
      </c>
      <c r="L54" t="s">
        <v>57</v>
      </c>
      <c r="M54" t="s">
        <v>344</v>
      </c>
      <c r="N54" t="s">
        <v>345</v>
      </c>
      <c r="P54" s="14">
        <f>IF(Control!$B$7&lt;H54,0,IF(Control!$B$7&gt;=I54,1,(Control!$B$7-H54+1)/J54))</f>
        <v>0</v>
      </c>
      <c r="Q54" s="14">
        <v>0</v>
      </c>
      <c r="R54" s="14">
        <f t="shared" si="3"/>
        <v>1.08991825613079E-2</v>
      </c>
      <c r="S54" s="14">
        <f t="shared" si="4"/>
        <v>0</v>
      </c>
      <c r="T54" s="17">
        <f t="shared" si="5"/>
        <v>0</v>
      </c>
      <c r="U54" t="str">
        <f>IF(Q54&gt;=1,"Complete",IF(Q54&gt;0,"In Progress",IF(Control!$B$7&lt;H54,"Not Started",IF(Control!$B$7&gt;I54,"Late","Ready"))))</f>
        <v>Not Started</v>
      </c>
      <c r="V54" s="15">
        <v>46412</v>
      </c>
      <c r="W54" s="15">
        <v>46425</v>
      </c>
    </row>
    <row r="55" spans="1:23">
      <c r="A55" t="s">
        <v>346</v>
      </c>
      <c r="B55" t="s">
        <v>27</v>
      </c>
      <c r="C55" t="s">
        <v>28</v>
      </c>
      <c r="D55" t="s">
        <v>336</v>
      </c>
      <c r="E55" t="s">
        <v>337</v>
      </c>
      <c r="F55" t="s">
        <v>347</v>
      </c>
      <c r="G55" t="s">
        <v>348</v>
      </c>
      <c r="H55">
        <v>30</v>
      </c>
      <c r="I55">
        <v>31</v>
      </c>
      <c r="J55">
        <v>2</v>
      </c>
      <c r="K55">
        <v>2</v>
      </c>
      <c r="L55" t="s">
        <v>57</v>
      </c>
      <c r="M55" t="s">
        <v>349</v>
      </c>
      <c r="N55" t="s">
        <v>350</v>
      </c>
      <c r="P55" s="14">
        <f>IF(Control!$B$7&lt;H55,0,IF(Control!$B$7&gt;=I55,1,(Control!$B$7-H55+1)/J55))</f>
        <v>0</v>
      </c>
      <c r="Q55" s="14">
        <v>0</v>
      </c>
      <c r="R55" s="14">
        <f t="shared" si="3"/>
        <v>1.08991825613079E-2</v>
      </c>
      <c r="S55" s="14">
        <f t="shared" si="4"/>
        <v>0</v>
      </c>
      <c r="T55" s="17">
        <f t="shared" si="5"/>
        <v>0</v>
      </c>
      <c r="U55" t="str">
        <f>IF(Q55&gt;=1,"Complete",IF(Q55&gt;0,"In Progress",IF(Control!$B$7&lt;H55,"Not Started",IF(Control!$B$7&gt;I55,"Late","Ready"))))</f>
        <v>Not Started</v>
      </c>
      <c r="V55" s="15">
        <v>46419</v>
      </c>
      <c r="W55" s="15">
        <v>46432</v>
      </c>
    </row>
    <row r="56" spans="1:23">
      <c r="A56" t="s">
        <v>351</v>
      </c>
      <c r="B56" t="s">
        <v>27</v>
      </c>
      <c r="C56" t="s">
        <v>28</v>
      </c>
      <c r="D56" t="s">
        <v>336</v>
      </c>
      <c r="E56" t="s">
        <v>337</v>
      </c>
      <c r="F56" t="s">
        <v>352</v>
      </c>
      <c r="G56" t="s">
        <v>346</v>
      </c>
      <c r="H56">
        <v>31</v>
      </c>
      <c r="I56">
        <v>31</v>
      </c>
      <c r="J56">
        <v>1</v>
      </c>
      <c r="K56">
        <v>1</v>
      </c>
      <c r="L56" t="s">
        <v>57</v>
      </c>
      <c r="M56" t="s">
        <v>353</v>
      </c>
      <c r="N56" t="s">
        <v>354</v>
      </c>
      <c r="P56" s="14">
        <f>IF(Control!$B$7&lt;H56,0,IF(Control!$B$7&gt;=I56,1,(Control!$B$7-H56+1)/J56))</f>
        <v>0</v>
      </c>
      <c r="Q56" s="14">
        <v>0</v>
      </c>
      <c r="R56" s="14">
        <f t="shared" si="3"/>
        <v>5.4495912806539499E-3</v>
      </c>
      <c r="S56" s="14">
        <f t="shared" si="4"/>
        <v>0</v>
      </c>
      <c r="T56" s="17">
        <f t="shared" si="5"/>
        <v>0</v>
      </c>
      <c r="U56" t="str">
        <f>IF(Q56&gt;=1,"Complete",IF(Q56&gt;0,"In Progress",IF(Control!$B$7&lt;H56,"Not Started",IF(Control!$B$7&gt;I56,"Late","Ready"))))</f>
        <v>Not Started</v>
      </c>
      <c r="V56" s="15">
        <v>46426</v>
      </c>
      <c r="W56" s="15">
        <v>46432</v>
      </c>
    </row>
    <row r="57" spans="1:23">
      <c r="A57" t="s">
        <v>355</v>
      </c>
      <c r="B57" t="s">
        <v>27</v>
      </c>
      <c r="C57" t="s">
        <v>28</v>
      </c>
      <c r="D57" t="s">
        <v>336</v>
      </c>
      <c r="E57" t="s">
        <v>337</v>
      </c>
      <c r="F57" t="s">
        <v>356</v>
      </c>
      <c r="G57" t="s">
        <v>357</v>
      </c>
      <c r="H57">
        <v>32</v>
      </c>
      <c r="I57">
        <v>33</v>
      </c>
      <c r="J57">
        <v>2</v>
      </c>
      <c r="K57">
        <v>2.6</v>
      </c>
      <c r="L57" t="s">
        <v>57</v>
      </c>
      <c r="M57" t="s">
        <v>358</v>
      </c>
      <c r="N57" t="s">
        <v>359</v>
      </c>
      <c r="O57" t="s">
        <v>29</v>
      </c>
      <c r="P57" s="14">
        <f>IF(Control!$B$7&lt;H57,0,IF(Control!$B$7&gt;=I57,1,(Control!$B$7-H57+1)/J57))</f>
        <v>0</v>
      </c>
      <c r="Q57" s="14">
        <v>0</v>
      </c>
      <c r="R57" s="14">
        <f t="shared" si="3"/>
        <v>1.416893732970027E-2</v>
      </c>
      <c r="S57" s="14">
        <f t="shared" si="4"/>
        <v>0</v>
      </c>
      <c r="T57" s="17">
        <f t="shared" si="5"/>
        <v>0</v>
      </c>
      <c r="U57" t="str">
        <f>IF(Q57&gt;=1,"Complete",IF(Q57&gt;0,"In Progress",IF(Control!$B$7&lt;H57,"Not Started",IF(Control!$B$7&gt;I57,"Late","Ready"))))</f>
        <v>Not Started</v>
      </c>
      <c r="V57" s="15">
        <v>46433</v>
      </c>
      <c r="W57" s="15">
        <v>46446</v>
      </c>
    </row>
    <row r="58" spans="1:23">
      <c r="A58" t="s">
        <v>360</v>
      </c>
      <c r="B58" t="s">
        <v>27</v>
      </c>
      <c r="C58" t="s">
        <v>28</v>
      </c>
      <c r="D58" t="s">
        <v>336</v>
      </c>
      <c r="E58" t="s">
        <v>337</v>
      </c>
      <c r="F58" t="s">
        <v>361</v>
      </c>
      <c r="G58" t="s">
        <v>355</v>
      </c>
      <c r="H58">
        <v>33</v>
      </c>
      <c r="I58">
        <v>34</v>
      </c>
      <c r="J58">
        <v>2</v>
      </c>
      <c r="K58">
        <v>2.6</v>
      </c>
      <c r="L58" t="s">
        <v>57</v>
      </c>
      <c r="M58" t="s">
        <v>362</v>
      </c>
      <c r="N58" t="s">
        <v>363</v>
      </c>
      <c r="O58" t="s">
        <v>29</v>
      </c>
      <c r="P58" s="14">
        <f>IF(Control!$B$7&lt;H58,0,IF(Control!$B$7&gt;=I58,1,(Control!$B$7-H58+1)/J58))</f>
        <v>0</v>
      </c>
      <c r="Q58" s="14">
        <v>0</v>
      </c>
      <c r="R58" s="14">
        <f t="shared" si="3"/>
        <v>1.416893732970027E-2</v>
      </c>
      <c r="S58" s="14">
        <f t="shared" si="4"/>
        <v>0</v>
      </c>
      <c r="T58" s="17">
        <f t="shared" si="5"/>
        <v>0</v>
      </c>
      <c r="U58" t="str">
        <f>IF(Q58&gt;=1,"Complete",IF(Q58&gt;0,"In Progress",IF(Control!$B$7&lt;H58,"Not Started",IF(Control!$B$7&gt;I58,"Late","Ready"))))</f>
        <v>Not Started</v>
      </c>
      <c r="V58" s="15">
        <v>46440</v>
      </c>
      <c r="W58" s="15">
        <v>46453</v>
      </c>
    </row>
    <row r="59" spans="1:23">
      <c r="A59" t="s">
        <v>364</v>
      </c>
      <c r="B59" t="s">
        <v>30</v>
      </c>
      <c r="C59" t="s">
        <v>31</v>
      </c>
      <c r="D59" t="s">
        <v>365</v>
      </c>
      <c r="E59" t="s">
        <v>366</v>
      </c>
      <c r="F59" t="s">
        <v>367</v>
      </c>
      <c r="G59" t="s">
        <v>360</v>
      </c>
      <c r="H59">
        <v>35</v>
      </c>
      <c r="I59">
        <v>35</v>
      </c>
      <c r="J59">
        <v>1</v>
      </c>
      <c r="K59">
        <v>1</v>
      </c>
      <c r="L59" t="s">
        <v>57</v>
      </c>
      <c r="M59" t="s">
        <v>368</v>
      </c>
      <c r="N59" t="s">
        <v>369</v>
      </c>
      <c r="P59" s="14">
        <f>IF(Control!$B$7&lt;H59,0,IF(Control!$B$7&gt;=I59,1,(Control!$B$7-H59+1)/J59))</f>
        <v>0</v>
      </c>
      <c r="Q59" s="14">
        <v>0</v>
      </c>
      <c r="R59" s="14">
        <f t="shared" si="3"/>
        <v>5.4495912806539499E-3</v>
      </c>
      <c r="S59" s="14">
        <f t="shared" si="4"/>
        <v>0</v>
      </c>
      <c r="T59" s="17">
        <f t="shared" si="5"/>
        <v>0</v>
      </c>
      <c r="U59" t="str">
        <f>IF(Q59&gt;=1,"Complete",IF(Q59&gt;0,"In Progress",IF(Control!$B$7&lt;H59,"Not Started",IF(Control!$B$7&gt;I59,"Late","Ready"))))</f>
        <v>Not Started</v>
      </c>
      <c r="V59" s="15">
        <v>46454</v>
      </c>
      <c r="W59" s="15">
        <v>46460</v>
      </c>
    </row>
    <row r="60" spans="1:23">
      <c r="A60" t="s">
        <v>370</v>
      </c>
      <c r="B60" t="s">
        <v>30</v>
      </c>
      <c r="C60" t="s">
        <v>31</v>
      </c>
      <c r="D60" t="s">
        <v>365</v>
      </c>
      <c r="E60" t="s">
        <v>366</v>
      </c>
      <c r="F60" t="s">
        <v>371</v>
      </c>
      <c r="G60" t="s">
        <v>364</v>
      </c>
      <c r="H60">
        <v>36</v>
      </c>
      <c r="I60">
        <v>36</v>
      </c>
      <c r="J60">
        <v>1</v>
      </c>
      <c r="K60">
        <v>1</v>
      </c>
      <c r="L60" t="s">
        <v>57</v>
      </c>
      <c r="M60" t="s">
        <v>372</v>
      </c>
      <c r="N60" t="s">
        <v>373</v>
      </c>
      <c r="P60" s="14">
        <f>IF(Control!$B$7&lt;H60,0,IF(Control!$B$7&gt;=I60,1,(Control!$B$7-H60+1)/J60))</f>
        <v>0</v>
      </c>
      <c r="Q60" s="14">
        <v>0</v>
      </c>
      <c r="R60" s="14">
        <f t="shared" si="3"/>
        <v>5.4495912806539499E-3</v>
      </c>
      <c r="S60" s="14">
        <f t="shared" si="4"/>
        <v>0</v>
      </c>
      <c r="T60" s="17">
        <f t="shared" si="5"/>
        <v>0</v>
      </c>
      <c r="U60" t="str">
        <f>IF(Q60&gt;=1,"Complete",IF(Q60&gt;0,"In Progress",IF(Control!$B$7&lt;H60,"Not Started",IF(Control!$B$7&gt;I60,"Late","Ready"))))</f>
        <v>Not Started</v>
      </c>
      <c r="V60" s="15">
        <v>46461</v>
      </c>
      <c r="W60" s="15">
        <v>46467</v>
      </c>
    </row>
    <row r="61" spans="1:23">
      <c r="A61" t="s">
        <v>374</v>
      </c>
      <c r="B61" t="s">
        <v>30</v>
      </c>
      <c r="C61" t="s">
        <v>31</v>
      </c>
      <c r="D61" t="s">
        <v>365</v>
      </c>
      <c r="E61" t="s">
        <v>366</v>
      </c>
      <c r="F61" t="s">
        <v>375</v>
      </c>
      <c r="G61" t="s">
        <v>370</v>
      </c>
      <c r="H61">
        <v>37</v>
      </c>
      <c r="I61">
        <v>37</v>
      </c>
      <c r="J61">
        <v>1</v>
      </c>
      <c r="K61">
        <v>1</v>
      </c>
      <c r="L61" t="s">
        <v>57</v>
      </c>
      <c r="M61" t="s">
        <v>376</v>
      </c>
      <c r="N61" t="s">
        <v>377</v>
      </c>
      <c r="P61" s="14">
        <f>IF(Control!$B$7&lt;H61,0,IF(Control!$B$7&gt;=I61,1,(Control!$B$7-H61+1)/J61))</f>
        <v>0</v>
      </c>
      <c r="Q61" s="14">
        <v>0</v>
      </c>
      <c r="R61" s="14">
        <f t="shared" si="3"/>
        <v>5.4495912806539499E-3</v>
      </c>
      <c r="S61" s="14">
        <f t="shared" si="4"/>
        <v>0</v>
      </c>
      <c r="T61" s="17">
        <f t="shared" si="5"/>
        <v>0</v>
      </c>
      <c r="U61" t="str">
        <f>IF(Q61&gt;=1,"Complete",IF(Q61&gt;0,"In Progress",IF(Control!$B$7&lt;H61,"Not Started",IF(Control!$B$7&gt;I61,"Late","Ready"))))</f>
        <v>Not Started</v>
      </c>
      <c r="V61" s="15">
        <v>46468</v>
      </c>
      <c r="W61" s="15">
        <v>46474</v>
      </c>
    </row>
    <row r="62" spans="1:23">
      <c r="A62" t="s">
        <v>378</v>
      </c>
      <c r="B62" t="s">
        <v>30</v>
      </c>
      <c r="C62" t="s">
        <v>31</v>
      </c>
      <c r="D62" t="s">
        <v>379</v>
      </c>
      <c r="E62" t="s">
        <v>380</v>
      </c>
      <c r="F62" t="s">
        <v>381</v>
      </c>
      <c r="G62" t="s">
        <v>374</v>
      </c>
      <c r="H62">
        <v>38</v>
      </c>
      <c r="I62">
        <v>38</v>
      </c>
      <c r="J62">
        <v>1</v>
      </c>
      <c r="K62">
        <v>1</v>
      </c>
      <c r="L62" t="s">
        <v>57</v>
      </c>
      <c r="M62" t="s">
        <v>382</v>
      </c>
      <c r="N62" t="s">
        <v>383</v>
      </c>
      <c r="P62" s="14">
        <f>IF(Control!$B$7&lt;H62,0,IF(Control!$B$7&gt;=I62,1,(Control!$B$7-H62+1)/J62))</f>
        <v>0</v>
      </c>
      <c r="Q62" s="14">
        <v>0</v>
      </c>
      <c r="R62" s="14">
        <f t="shared" si="3"/>
        <v>5.4495912806539499E-3</v>
      </c>
      <c r="S62" s="14">
        <f t="shared" si="4"/>
        <v>0</v>
      </c>
      <c r="T62" s="17">
        <f t="shared" si="5"/>
        <v>0</v>
      </c>
      <c r="U62" t="str">
        <f>IF(Q62&gt;=1,"Complete",IF(Q62&gt;0,"In Progress",IF(Control!$B$7&lt;H62,"Not Started",IF(Control!$B$7&gt;I62,"Late","Ready"))))</f>
        <v>Not Started</v>
      </c>
      <c r="V62" s="15">
        <v>46475</v>
      </c>
      <c r="W62" s="15">
        <v>46481</v>
      </c>
    </row>
    <row r="63" spans="1:23">
      <c r="A63" t="s">
        <v>384</v>
      </c>
      <c r="B63" t="s">
        <v>30</v>
      </c>
      <c r="C63" t="s">
        <v>31</v>
      </c>
      <c r="D63" t="s">
        <v>379</v>
      </c>
      <c r="E63" t="s">
        <v>380</v>
      </c>
      <c r="F63" t="s">
        <v>385</v>
      </c>
      <c r="G63" t="s">
        <v>378</v>
      </c>
      <c r="H63">
        <v>39</v>
      </c>
      <c r="I63">
        <v>39</v>
      </c>
      <c r="J63">
        <v>1</v>
      </c>
      <c r="K63">
        <v>1</v>
      </c>
      <c r="L63" t="s">
        <v>57</v>
      </c>
      <c r="M63" t="s">
        <v>386</v>
      </c>
      <c r="N63" t="s">
        <v>387</v>
      </c>
      <c r="P63" s="14">
        <f>IF(Control!$B$7&lt;H63,0,IF(Control!$B$7&gt;=I63,1,(Control!$B$7-H63+1)/J63))</f>
        <v>0</v>
      </c>
      <c r="Q63" s="14">
        <v>0</v>
      </c>
      <c r="R63" s="14">
        <f t="shared" si="3"/>
        <v>5.4495912806539499E-3</v>
      </c>
      <c r="S63" s="14">
        <f t="shared" si="4"/>
        <v>0</v>
      </c>
      <c r="T63" s="17">
        <f t="shared" si="5"/>
        <v>0</v>
      </c>
      <c r="U63" t="str">
        <f>IF(Q63&gt;=1,"Complete",IF(Q63&gt;0,"In Progress",IF(Control!$B$7&lt;H63,"Not Started",IF(Control!$B$7&gt;I63,"Late","Ready"))))</f>
        <v>Not Started</v>
      </c>
      <c r="V63" s="15">
        <v>46482</v>
      </c>
      <c r="W63" s="15">
        <v>46488</v>
      </c>
    </row>
    <row r="64" spans="1:23">
      <c r="A64" t="s">
        <v>388</v>
      </c>
      <c r="B64" t="s">
        <v>30</v>
      </c>
      <c r="C64" t="s">
        <v>31</v>
      </c>
      <c r="D64" t="s">
        <v>379</v>
      </c>
      <c r="E64" t="s">
        <v>380</v>
      </c>
      <c r="F64" t="s">
        <v>389</v>
      </c>
      <c r="G64" t="s">
        <v>384</v>
      </c>
      <c r="H64">
        <v>40</v>
      </c>
      <c r="I64">
        <v>40</v>
      </c>
      <c r="J64">
        <v>1</v>
      </c>
      <c r="K64">
        <v>1</v>
      </c>
      <c r="L64" t="s">
        <v>57</v>
      </c>
      <c r="M64" t="s">
        <v>390</v>
      </c>
      <c r="N64" t="s">
        <v>391</v>
      </c>
      <c r="P64" s="14">
        <f>IF(Control!$B$7&lt;H64,0,IF(Control!$B$7&gt;=I64,1,(Control!$B$7-H64+1)/J64))</f>
        <v>0</v>
      </c>
      <c r="Q64" s="14">
        <v>0</v>
      </c>
      <c r="R64" s="14">
        <f t="shared" si="3"/>
        <v>5.4495912806539499E-3</v>
      </c>
      <c r="S64" s="14">
        <f t="shared" si="4"/>
        <v>0</v>
      </c>
      <c r="T64" s="17">
        <f t="shared" si="5"/>
        <v>0</v>
      </c>
      <c r="U64" t="str">
        <f>IF(Q64&gt;=1,"Complete",IF(Q64&gt;0,"In Progress",IF(Control!$B$7&lt;H64,"Not Started",IF(Control!$B$7&gt;I64,"Late","Ready"))))</f>
        <v>Not Started</v>
      </c>
      <c r="V64" s="15">
        <v>46489</v>
      </c>
      <c r="W64" s="15">
        <v>46495</v>
      </c>
    </row>
    <row r="65" spans="1:23">
      <c r="A65" t="s">
        <v>392</v>
      </c>
      <c r="B65" t="s">
        <v>30</v>
      </c>
      <c r="C65" t="s">
        <v>31</v>
      </c>
      <c r="D65" t="s">
        <v>379</v>
      </c>
      <c r="E65" t="s">
        <v>380</v>
      </c>
      <c r="F65" t="s">
        <v>393</v>
      </c>
      <c r="G65" t="s">
        <v>388</v>
      </c>
      <c r="H65">
        <v>40</v>
      </c>
      <c r="I65">
        <v>40</v>
      </c>
      <c r="J65">
        <v>1</v>
      </c>
      <c r="K65">
        <v>1</v>
      </c>
      <c r="L65" t="s">
        <v>57</v>
      </c>
      <c r="M65" t="s">
        <v>394</v>
      </c>
      <c r="N65" t="s">
        <v>395</v>
      </c>
      <c r="P65" s="14">
        <f>IF(Control!$B$7&lt;H65,0,IF(Control!$B$7&gt;=I65,1,(Control!$B$7-H65+1)/J65))</f>
        <v>0</v>
      </c>
      <c r="Q65" s="14">
        <v>0</v>
      </c>
      <c r="R65" s="14">
        <f t="shared" si="3"/>
        <v>5.4495912806539499E-3</v>
      </c>
      <c r="S65" s="14">
        <f t="shared" si="4"/>
        <v>0</v>
      </c>
      <c r="T65" s="17">
        <f t="shared" si="5"/>
        <v>0</v>
      </c>
      <c r="U65" t="str">
        <f>IF(Q65&gt;=1,"Complete",IF(Q65&gt;0,"In Progress",IF(Control!$B$7&lt;H65,"Not Started",IF(Control!$B$7&gt;I65,"Late","Ready"))))</f>
        <v>Not Started</v>
      </c>
      <c r="V65" s="15">
        <v>46489</v>
      </c>
      <c r="W65" s="15">
        <v>46495</v>
      </c>
    </row>
    <row r="66" spans="1:23">
      <c r="A66" t="s">
        <v>396</v>
      </c>
      <c r="B66" t="s">
        <v>30</v>
      </c>
      <c r="C66" t="s">
        <v>31</v>
      </c>
      <c r="D66" t="s">
        <v>397</v>
      </c>
      <c r="E66" t="s">
        <v>398</v>
      </c>
      <c r="F66" t="s">
        <v>399</v>
      </c>
      <c r="G66" t="s">
        <v>400</v>
      </c>
      <c r="H66">
        <v>41</v>
      </c>
      <c r="I66">
        <v>42</v>
      </c>
      <c r="J66">
        <v>2</v>
      </c>
      <c r="K66">
        <v>2</v>
      </c>
      <c r="L66" t="s">
        <v>57</v>
      </c>
      <c r="M66" t="s">
        <v>401</v>
      </c>
      <c r="N66" t="s">
        <v>402</v>
      </c>
      <c r="P66" s="14">
        <f>IF(Control!$B$7&lt;H66,0,IF(Control!$B$7&gt;=I66,1,(Control!$B$7-H66+1)/J66))</f>
        <v>0</v>
      </c>
      <c r="Q66" s="14">
        <v>0</v>
      </c>
      <c r="R66" s="14">
        <f t="shared" si="3"/>
        <v>1.08991825613079E-2</v>
      </c>
      <c r="S66" s="14">
        <f t="shared" si="4"/>
        <v>0</v>
      </c>
      <c r="T66" s="17">
        <f t="shared" si="5"/>
        <v>0</v>
      </c>
      <c r="U66" t="str">
        <f>IF(Q66&gt;=1,"Complete",IF(Q66&gt;0,"In Progress",IF(Control!$B$7&lt;H66,"Not Started",IF(Control!$B$7&gt;I66,"Late","Ready"))))</f>
        <v>Not Started</v>
      </c>
      <c r="V66" s="15">
        <v>46496</v>
      </c>
      <c r="W66" s="15">
        <v>46509</v>
      </c>
    </row>
    <row r="67" spans="1:23">
      <c r="A67" t="s">
        <v>403</v>
      </c>
      <c r="B67" t="s">
        <v>30</v>
      </c>
      <c r="C67" t="s">
        <v>31</v>
      </c>
      <c r="D67" t="s">
        <v>397</v>
      </c>
      <c r="E67" t="s">
        <v>398</v>
      </c>
      <c r="F67" t="s">
        <v>404</v>
      </c>
      <c r="G67" t="s">
        <v>396</v>
      </c>
      <c r="H67">
        <v>42</v>
      </c>
      <c r="I67">
        <v>43</v>
      </c>
      <c r="J67">
        <v>2</v>
      </c>
      <c r="K67">
        <v>2</v>
      </c>
      <c r="L67" t="s">
        <v>57</v>
      </c>
      <c r="M67" t="s">
        <v>405</v>
      </c>
      <c r="N67" t="s">
        <v>406</v>
      </c>
      <c r="P67" s="14">
        <f>IF(Control!$B$7&lt;H67,0,IF(Control!$B$7&gt;=I67,1,(Control!$B$7-H67+1)/J67))</f>
        <v>0</v>
      </c>
      <c r="Q67" s="14">
        <v>0</v>
      </c>
      <c r="R67" s="14">
        <f t="shared" si="3"/>
        <v>1.08991825613079E-2</v>
      </c>
      <c r="S67" s="14">
        <f t="shared" si="4"/>
        <v>0</v>
      </c>
      <c r="T67" s="17">
        <f t="shared" si="5"/>
        <v>0</v>
      </c>
      <c r="U67" t="str">
        <f>IF(Q67&gt;=1,"Complete",IF(Q67&gt;0,"In Progress",IF(Control!$B$7&lt;H67,"Not Started",IF(Control!$B$7&gt;I67,"Late","Ready"))))</f>
        <v>Not Started</v>
      </c>
      <c r="V67" s="15">
        <v>46503</v>
      </c>
      <c r="W67" s="15">
        <v>46516</v>
      </c>
    </row>
    <row r="68" spans="1:23">
      <c r="A68" t="s">
        <v>407</v>
      </c>
      <c r="B68" t="s">
        <v>30</v>
      </c>
      <c r="C68" t="s">
        <v>31</v>
      </c>
      <c r="D68" t="s">
        <v>397</v>
      </c>
      <c r="E68" t="s">
        <v>398</v>
      </c>
      <c r="F68" t="s">
        <v>408</v>
      </c>
      <c r="G68" t="s">
        <v>409</v>
      </c>
      <c r="H68">
        <v>43</v>
      </c>
      <c r="I68">
        <v>44</v>
      </c>
      <c r="J68">
        <v>2</v>
      </c>
      <c r="K68">
        <v>2</v>
      </c>
      <c r="L68" t="s">
        <v>57</v>
      </c>
      <c r="M68" t="s">
        <v>410</v>
      </c>
      <c r="N68" t="s">
        <v>411</v>
      </c>
      <c r="P68" s="14">
        <f>IF(Control!$B$7&lt;H68,0,IF(Control!$B$7&gt;=I68,1,(Control!$B$7-H68+1)/J68))</f>
        <v>0</v>
      </c>
      <c r="Q68" s="14">
        <v>0</v>
      </c>
      <c r="R68" s="14">
        <f t="shared" si="3"/>
        <v>1.08991825613079E-2</v>
      </c>
      <c r="S68" s="14">
        <f t="shared" si="4"/>
        <v>0</v>
      </c>
      <c r="T68" s="17">
        <f t="shared" si="5"/>
        <v>0</v>
      </c>
      <c r="U68" t="str">
        <f>IF(Q68&gt;=1,"Complete",IF(Q68&gt;0,"In Progress",IF(Control!$B$7&lt;H68,"Not Started",IF(Control!$B$7&gt;I68,"Late","Ready"))))</f>
        <v>Not Started</v>
      </c>
      <c r="V68" s="15">
        <v>46510</v>
      </c>
      <c r="W68" s="15">
        <v>46523</v>
      </c>
    </row>
    <row r="69" spans="1:23">
      <c r="A69" t="s">
        <v>412</v>
      </c>
      <c r="B69" t="s">
        <v>30</v>
      </c>
      <c r="C69" t="s">
        <v>31</v>
      </c>
      <c r="D69" t="s">
        <v>397</v>
      </c>
      <c r="E69" t="s">
        <v>398</v>
      </c>
      <c r="F69" t="s">
        <v>413</v>
      </c>
      <c r="G69" t="s">
        <v>407</v>
      </c>
      <c r="H69">
        <v>44</v>
      </c>
      <c r="I69">
        <v>44</v>
      </c>
      <c r="J69">
        <v>1</v>
      </c>
      <c r="K69">
        <v>1</v>
      </c>
      <c r="L69" t="s">
        <v>57</v>
      </c>
      <c r="M69" t="s">
        <v>414</v>
      </c>
      <c r="N69" t="s">
        <v>415</v>
      </c>
      <c r="P69" s="14">
        <f>IF(Control!$B$7&lt;H69,0,IF(Control!$B$7&gt;=I69,1,(Control!$B$7-H69+1)/J69))</f>
        <v>0</v>
      </c>
      <c r="Q69" s="14">
        <v>0</v>
      </c>
      <c r="R69" s="14">
        <f t="shared" ref="R69:R100" si="6">K69/SUM($K$5:$K$137)</f>
        <v>5.4495912806539499E-3</v>
      </c>
      <c r="S69" s="14">
        <f t="shared" ref="S69:S100" si="7">P69*R69</f>
        <v>0</v>
      </c>
      <c r="T69" s="17">
        <f t="shared" ref="T69:T100" si="8">Q69*R69</f>
        <v>0</v>
      </c>
      <c r="U69" t="str">
        <f>IF(Q69&gt;=1,"Complete",IF(Q69&gt;0,"In Progress",IF(Control!$B$7&lt;H69,"Not Started",IF(Control!$B$7&gt;I69,"Late","Ready"))))</f>
        <v>Not Started</v>
      </c>
      <c r="V69" s="15">
        <v>46517</v>
      </c>
      <c r="W69" s="15">
        <v>46523</v>
      </c>
    </row>
    <row r="70" spans="1:23">
      <c r="A70" t="s">
        <v>416</v>
      </c>
      <c r="B70" t="s">
        <v>30</v>
      </c>
      <c r="C70" t="s">
        <v>31</v>
      </c>
      <c r="D70" t="s">
        <v>417</v>
      </c>
      <c r="E70" t="s">
        <v>418</v>
      </c>
      <c r="F70" t="s">
        <v>419</v>
      </c>
      <c r="G70" t="s">
        <v>374</v>
      </c>
      <c r="H70">
        <v>45</v>
      </c>
      <c r="I70">
        <v>45</v>
      </c>
      <c r="J70">
        <v>1</v>
      </c>
      <c r="K70">
        <v>1</v>
      </c>
      <c r="L70" t="s">
        <v>57</v>
      </c>
      <c r="M70" t="s">
        <v>420</v>
      </c>
      <c r="N70" t="s">
        <v>421</v>
      </c>
      <c r="P70" s="14">
        <f>IF(Control!$B$7&lt;H70,0,IF(Control!$B$7&gt;=I70,1,(Control!$B$7-H70+1)/J70))</f>
        <v>0</v>
      </c>
      <c r="Q70" s="14">
        <v>0</v>
      </c>
      <c r="R70" s="14">
        <f t="shared" si="6"/>
        <v>5.4495912806539499E-3</v>
      </c>
      <c r="S70" s="14">
        <f t="shared" si="7"/>
        <v>0</v>
      </c>
      <c r="T70" s="17">
        <f t="shared" si="8"/>
        <v>0</v>
      </c>
      <c r="U70" t="str">
        <f>IF(Q70&gt;=1,"Complete",IF(Q70&gt;0,"In Progress",IF(Control!$B$7&lt;H70,"Not Started",IF(Control!$B$7&gt;I70,"Late","Ready"))))</f>
        <v>Not Started</v>
      </c>
      <c r="V70" s="15">
        <v>46524</v>
      </c>
      <c r="W70" s="15">
        <v>46530</v>
      </c>
    </row>
    <row r="71" spans="1:23">
      <c r="A71" t="s">
        <v>422</v>
      </c>
      <c r="B71" t="s">
        <v>30</v>
      </c>
      <c r="C71" t="s">
        <v>31</v>
      </c>
      <c r="D71" t="s">
        <v>417</v>
      </c>
      <c r="E71" t="s">
        <v>418</v>
      </c>
      <c r="F71" t="s">
        <v>423</v>
      </c>
      <c r="G71" t="s">
        <v>424</v>
      </c>
      <c r="H71">
        <v>46</v>
      </c>
      <c r="I71">
        <v>46</v>
      </c>
      <c r="J71">
        <v>1</v>
      </c>
      <c r="K71">
        <v>1</v>
      </c>
      <c r="L71" t="s">
        <v>57</v>
      </c>
      <c r="M71" t="s">
        <v>425</v>
      </c>
      <c r="N71" t="s">
        <v>426</v>
      </c>
      <c r="P71" s="14">
        <f>IF(Control!$B$7&lt;H71,0,IF(Control!$B$7&gt;=I71,1,(Control!$B$7-H71+1)/J71))</f>
        <v>0</v>
      </c>
      <c r="Q71" s="14">
        <v>0</v>
      </c>
      <c r="R71" s="14">
        <f t="shared" si="6"/>
        <v>5.4495912806539499E-3</v>
      </c>
      <c r="S71" s="14">
        <f t="shared" si="7"/>
        <v>0</v>
      </c>
      <c r="T71" s="17">
        <f t="shared" si="8"/>
        <v>0</v>
      </c>
      <c r="U71" t="str">
        <f>IF(Q71&gt;=1,"Complete",IF(Q71&gt;0,"In Progress",IF(Control!$B$7&lt;H71,"Not Started",IF(Control!$B$7&gt;I71,"Late","Ready"))))</f>
        <v>Not Started</v>
      </c>
      <c r="V71" s="15">
        <v>46531</v>
      </c>
      <c r="W71" s="15">
        <v>46537</v>
      </c>
    </row>
    <row r="72" spans="1:23">
      <c r="A72" t="s">
        <v>427</v>
      </c>
      <c r="B72" t="s">
        <v>30</v>
      </c>
      <c r="C72" t="s">
        <v>31</v>
      </c>
      <c r="D72" t="s">
        <v>417</v>
      </c>
      <c r="E72" t="s">
        <v>418</v>
      </c>
      <c r="F72" t="s">
        <v>428</v>
      </c>
      <c r="G72" t="s">
        <v>429</v>
      </c>
      <c r="H72">
        <v>46</v>
      </c>
      <c r="I72">
        <v>47</v>
      </c>
      <c r="J72">
        <v>2</v>
      </c>
      <c r="K72">
        <v>2</v>
      </c>
      <c r="L72" t="s">
        <v>57</v>
      </c>
      <c r="M72" t="s">
        <v>430</v>
      </c>
      <c r="N72" t="s">
        <v>431</v>
      </c>
      <c r="P72" s="14">
        <f>IF(Control!$B$7&lt;H72,0,IF(Control!$B$7&gt;=I72,1,(Control!$B$7-H72+1)/J72))</f>
        <v>0</v>
      </c>
      <c r="Q72" s="14">
        <v>0</v>
      </c>
      <c r="R72" s="14">
        <f t="shared" si="6"/>
        <v>1.08991825613079E-2</v>
      </c>
      <c r="S72" s="14">
        <f t="shared" si="7"/>
        <v>0</v>
      </c>
      <c r="T72" s="17">
        <f t="shared" si="8"/>
        <v>0</v>
      </c>
      <c r="U72" t="str">
        <f>IF(Q72&gt;=1,"Complete",IF(Q72&gt;0,"In Progress",IF(Control!$B$7&lt;H72,"Not Started",IF(Control!$B$7&gt;I72,"Late","Ready"))))</f>
        <v>Not Started</v>
      </c>
      <c r="V72" s="15">
        <v>46531</v>
      </c>
      <c r="W72" s="15">
        <v>46544</v>
      </c>
    </row>
    <row r="73" spans="1:23">
      <c r="A73" t="s">
        <v>432</v>
      </c>
      <c r="B73" t="s">
        <v>30</v>
      </c>
      <c r="C73" t="s">
        <v>31</v>
      </c>
      <c r="D73" t="s">
        <v>417</v>
      </c>
      <c r="E73" t="s">
        <v>418</v>
      </c>
      <c r="F73" t="s">
        <v>433</v>
      </c>
      <c r="G73" t="s">
        <v>427</v>
      </c>
      <c r="H73">
        <v>47</v>
      </c>
      <c r="I73">
        <v>47</v>
      </c>
      <c r="J73">
        <v>1</v>
      </c>
      <c r="K73">
        <v>1</v>
      </c>
      <c r="L73" t="s">
        <v>57</v>
      </c>
      <c r="M73" t="s">
        <v>434</v>
      </c>
      <c r="N73" t="s">
        <v>435</v>
      </c>
      <c r="P73" s="14">
        <f>IF(Control!$B$7&lt;H73,0,IF(Control!$B$7&gt;=I73,1,(Control!$B$7-H73+1)/J73))</f>
        <v>0</v>
      </c>
      <c r="Q73" s="14">
        <v>0</v>
      </c>
      <c r="R73" s="14">
        <f t="shared" si="6"/>
        <v>5.4495912806539499E-3</v>
      </c>
      <c r="S73" s="14">
        <f t="shared" si="7"/>
        <v>0</v>
      </c>
      <c r="T73" s="17">
        <f t="shared" si="8"/>
        <v>0</v>
      </c>
      <c r="U73" t="str">
        <f>IF(Q73&gt;=1,"Complete",IF(Q73&gt;0,"In Progress",IF(Control!$B$7&lt;H73,"Not Started",IF(Control!$B$7&gt;I73,"Late","Ready"))))</f>
        <v>Not Started</v>
      </c>
      <c r="V73" s="15">
        <v>46538</v>
      </c>
      <c r="W73" s="15">
        <v>46544</v>
      </c>
    </row>
    <row r="74" spans="1:23">
      <c r="A74" t="s">
        <v>436</v>
      </c>
      <c r="B74" t="s">
        <v>30</v>
      </c>
      <c r="C74" t="s">
        <v>31</v>
      </c>
      <c r="D74" t="s">
        <v>437</v>
      </c>
      <c r="E74" t="s">
        <v>438</v>
      </c>
      <c r="F74" t="s">
        <v>439</v>
      </c>
      <c r="G74" t="s">
        <v>440</v>
      </c>
      <c r="H74">
        <v>38</v>
      </c>
      <c r="I74">
        <v>39</v>
      </c>
      <c r="J74">
        <v>2</v>
      </c>
      <c r="K74">
        <v>2</v>
      </c>
      <c r="L74" t="s">
        <v>57</v>
      </c>
      <c r="M74" t="s">
        <v>441</v>
      </c>
      <c r="N74" t="s">
        <v>442</v>
      </c>
      <c r="P74" s="14">
        <f>IF(Control!$B$7&lt;H74,0,IF(Control!$B$7&gt;=I74,1,(Control!$B$7-H74+1)/J74))</f>
        <v>0</v>
      </c>
      <c r="Q74" s="14">
        <v>0</v>
      </c>
      <c r="R74" s="14">
        <f t="shared" si="6"/>
        <v>1.08991825613079E-2</v>
      </c>
      <c r="S74" s="14">
        <f t="shared" si="7"/>
        <v>0</v>
      </c>
      <c r="T74" s="17">
        <f t="shared" si="8"/>
        <v>0</v>
      </c>
      <c r="U74" t="str">
        <f>IF(Q74&gt;=1,"Complete",IF(Q74&gt;0,"In Progress",IF(Control!$B$7&lt;H74,"Not Started",IF(Control!$B$7&gt;I74,"Late","Ready"))))</f>
        <v>Not Started</v>
      </c>
      <c r="V74" s="15">
        <v>46475</v>
      </c>
      <c r="W74" s="15">
        <v>46488</v>
      </c>
    </row>
    <row r="75" spans="1:23">
      <c r="A75" t="s">
        <v>443</v>
      </c>
      <c r="B75" t="s">
        <v>30</v>
      </c>
      <c r="C75" t="s">
        <v>31</v>
      </c>
      <c r="D75" t="s">
        <v>437</v>
      </c>
      <c r="E75" t="s">
        <v>438</v>
      </c>
      <c r="F75" t="s">
        <v>444</v>
      </c>
      <c r="G75" t="s">
        <v>436</v>
      </c>
      <c r="H75">
        <v>39</v>
      </c>
      <c r="I75">
        <v>40</v>
      </c>
      <c r="J75">
        <v>2</v>
      </c>
      <c r="K75">
        <v>2</v>
      </c>
      <c r="L75" t="s">
        <v>57</v>
      </c>
      <c r="M75" t="s">
        <v>445</v>
      </c>
      <c r="N75" t="s">
        <v>446</v>
      </c>
      <c r="P75" s="14">
        <f>IF(Control!$B$7&lt;H75,0,IF(Control!$B$7&gt;=I75,1,(Control!$B$7-H75+1)/J75))</f>
        <v>0</v>
      </c>
      <c r="Q75" s="14">
        <v>0</v>
      </c>
      <c r="R75" s="14">
        <f t="shared" si="6"/>
        <v>1.08991825613079E-2</v>
      </c>
      <c r="S75" s="14">
        <f t="shared" si="7"/>
        <v>0</v>
      </c>
      <c r="T75" s="17">
        <f t="shared" si="8"/>
        <v>0</v>
      </c>
      <c r="U75" t="str">
        <f>IF(Q75&gt;=1,"Complete",IF(Q75&gt;0,"In Progress",IF(Control!$B$7&lt;H75,"Not Started",IF(Control!$B$7&gt;I75,"Late","Ready"))))</f>
        <v>Not Started</v>
      </c>
      <c r="V75" s="15">
        <v>46482</v>
      </c>
      <c r="W75" s="15">
        <v>46495</v>
      </c>
    </row>
    <row r="76" spans="1:23">
      <c r="A76" t="s">
        <v>447</v>
      </c>
      <c r="B76" t="s">
        <v>30</v>
      </c>
      <c r="C76" t="s">
        <v>31</v>
      </c>
      <c r="D76" t="s">
        <v>437</v>
      </c>
      <c r="E76" t="s">
        <v>438</v>
      </c>
      <c r="F76" t="s">
        <v>448</v>
      </c>
      <c r="G76" t="s">
        <v>449</v>
      </c>
      <c r="H76">
        <v>41</v>
      </c>
      <c r="I76">
        <v>41</v>
      </c>
      <c r="J76">
        <v>1</v>
      </c>
      <c r="K76">
        <v>1</v>
      </c>
      <c r="L76" t="s">
        <v>57</v>
      </c>
      <c r="M76" t="s">
        <v>450</v>
      </c>
      <c r="N76" t="s">
        <v>451</v>
      </c>
      <c r="P76" s="14">
        <f>IF(Control!$B$7&lt;H76,0,IF(Control!$B$7&gt;=I76,1,(Control!$B$7-H76+1)/J76))</f>
        <v>0</v>
      </c>
      <c r="Q76" s="14">
        <v>0</v>
      </c>
      <c r="R76" s="14">
        <f t="shared" si="6"/>
        <v>5.4495912806539499E-3</v>
      </c>
      <c r="S76" s="14">
        <f t="shared" si="7"/>
        <v>0</v>
      </c>
      <c r="T76" s="17">
        <f t="shared" si="8"/>
        <v>0</v>
      </c>
      <c r="U76" t="str">
        <f>IF(Q76&gt;=1,"Complete",IF(Q76&gt;0,"In Progress",IF(Control!$B$7&lt;H76,"Not Started",IF(Control!$B$7&gt;I76,"Late","Ready"))))</f>
        <v>Not Started</v>
      </c>
      <c r="V76" s="15">
        <v>46496</v>
      </c>
      <c r="W76" s="15">
        <v>46502</v>
      </c>
    </row>
    <row r="77" spans="1:23">
      <c r="A77" t="s">
        <v>452</v>
      </c>
      <c r="B77" t="s">
        <v>30</v>
      </c>
      <c r="C77" t="s">
        <v>31</v>
      </c>
      <c r="D77" t="s">
        <v>437</v>
      </c>
      <c r="E77" t="s">
        <v>438</v>
      </c>
      <c r="F77" t="s">
        <v>453</v>
      </c>
      <c r="G77" t="s">
        <v>454</v>
      </c>
      <c r="H77">
        <v>42</v>
      </c>
      <c r="I77">
        <v>42</v>
      </c>
      <c r="J77">
        <v>1</v>
      </c>
      <c r="K77">
        <v>1</v>
      </c>
      <c r="L77" t="s">
        <v>57</v>
      </c>
      <c r="M77" t="s">
        <v>455</v>
      </c>
      <c r="N77" t="s">
        <v>456</v>
      </c>
      <c r="P77" s="14">
        <f>IF(Control!$B$7&lt;H77,0,IF(Control!$B$7&gt;=I77,1,(Control!$B$7-H77+1)/J77))</f>
        <v>0</v>
      </c>
      <c r="Q77" s="14">
        <v>0</v>
      </c>
      <c r="R77" s="14">
        <f t="shared" si="6"/>
        <v>5.4495912806539499E-3</v>
      </c>
      <c r="S77" s="14">
        <f t="shared" si="7"/>
        <v>0</v>
      </c>
      <c r="T77" s="17">
        <f t="shared" si="8"/>
        <v>0</v>
      </c>
      <c r="U77" t="str">
        <f>IF(Q77&gt;=1,"Complete",IF(Q77&gt;0,"In Progress",IF(Control!$B$7&lt;H77,"Not Started",IF(Control!$B$7&gt;I77,"Late","Ready"))))</f>
        <v>Not Started</v>
      </c>
      <c r="V77" s="15">
        <v>46503</v>
      </c>
      <c r="W77" s="15">
        <v>46509</v>
      </c>
    </row>
    <row r="78" spans="1:23">
      <c r="A78" t="s">
        <v>457</v>
      </c>
      <c r="B78" t="s">
        <v>30</v>
      </c>
      <c r="C78" t="s">
        <v>31</v>
      </c>
      <c r="D78" t="s">
        <v>458</v>
      </c>
      <c r="E78" t="s">
        <v>459</v>
      </c>
      <c r="F78" t="s">
        <v>460</v>
      </c>
      <c r="G78" t="s">
        <v>461</v>
      </c>
      <c r="H78">
        <v>48</v>
      </c>
      <c r="I78">
        <v>48</v>
      </c>
      <c r="J78">
        <v>1</v>
      </c>
      <c r="K78">
        <v>1</v>
      </c>
      <c r="L78" t="s">
        <v>57</v>
      </c>
      <c r="M78" t="s">
        <v>462</v>
      </c>
      <c r="N78" t="s">
        <v>463</v>
      </c>
      <c r="P78" s="14">
        <f>IF(Control!$B$7&lt;H78,0,IF(Control!$B$7&gt;=I78,1,(Control!$B$7-H78+1)/J78))</f>
        <v>0</v>
      </c>
      <c r="Q78" s="14">
        <v>0</v>
      </c>
      <c r="R78" s="14">
        <f t="shared" si="6"/>
        <v>5.4495912806539499E-3</v>
      </c>
      <c r="S78" s="14">
        <f t="shared" si="7"/>
        <v>0</v>
      </c>
      <c r="T78" s="17">
        <f t="shared" si="8"/>
        <v>0</v>
      </c>
      <c r="U78" t="str">
        <f>IF(Q78&gt;=1,"Complete",IF(Q78&gt;0,"In Progress",IF(Control!$B$7&lt;H78,"Not Started",IF(Control!$B$7&gt;I78,"Late","Ready"))))</f>
        <v>Not Started</v>
      </c>
      <c r="V78" s="15">
        <v>46545</v>
      </c>
      <c r="W78" s="15">
        <v>46551</v>
      </c>
    </row>
    <row r="79" spans="1:23">
      <c r="A79" t="s">
        <v>464</v>
      </c>
      <c r="B79" t="s">
        <v>30</v>
      </c>
      <c r="C79" t="s">
        <v>31</v>
      </c>
      <c r="D79" t="s">
        <v>458</v>
      </c>
      <c r="E79" t="s">
        <v>459</v>
      </c>
      <c r="F79" t="s">
        <v>465</v>
      </c>
      <c r="G79" t="s">
        <v>457</v>
      </c>
      <c r="H79">
        <v>49</v>
      </c>
      <c r="I79">
        <v>49</v>
      </c>
      <c r="J79">
        <v>1</v>
      </c>
      <c r="K79">
        <v>1</v>
      </c>
      <c r="L79" t="s">
        <v>57</v>
      </c>
      <c r="M79" t="s">
        <v>466</v>
      </c>
      <c r="N79" t="s">
        <v>467</v>
      </c>
      <c r="P79" s="14">
        <f>IF(Control!$B$7&lt;H79,0,IF(Control!$B$7&gt;=I79,1,(Control!$B$7-H79+1)/J79))</f>
        <v>0</v>
      </c>
      <c r="Q79" s="14">
        <v>0</v>
      </c>
      <c r="R79" s="14">
        <f t="shared" si="6"/>
        <v>5.4495912806539499E-3</v>
      </c>
      <c r="S79" s="14">
        <f t="shared" si="7"/>
        <v>0</v>
      </c>
      <c r="T79" s="17">
        <f t="shared" si="8"/>
        <v>0</v>
      </c>
      <c r="U79" t="str">
        <f>IF(Q79&gt;=1,"Complete",IF(Q79&gt;0,"In Progress",IF(Control!$B$7&lt;H79,"Not Started",IF(Control!$B$7&gt;I79,"Late","Ready"))))</f>
        <v>Not Started</v>
      </c>
      <c r="V79" s="15">
        <v>46552</v>
      </c>
      <c r="W79" s="15">
        <v>46558</v>
      </c>
    </row>
    <row r="80" spans="1:23">
      <c r="A80" t="s">
        <v>468</v>
      </c>
      <c r="B80" t="s">
        <v>30</v>
      </c>
      <c r="C80" t="s">
        <v>31</v>
      </c>
      <c r="D80" t="s">
        <v>458</v>
      </c>
      <c r="E80" t="s">
        <v>459</v>
      </c>
      <c r="F80" t="s">
        <v>469</v>
      </c>
      <c r="G80" t="s">
        <v>464</v>
      </c>
      <c r="H80">
        <v>50</v>
      </c>
      <c r="I80">
        <v>50</v>
      </c>
      <c r="J80">
        <v>1</v>
      </c>
      <c r="K80">
        <v>1</v>
      </c>
      <c r="L80" t="s">
        <v>57</v>
      </c>
      <c r="M80" t="s">
        <v>470</v>
      </c>
      <c r="N80" t="s">
        <v>471</v>
      </c>
      <c r="P80" s="14">
        <f>IF(Control!$B$7&lt;H80,0,IF(Control!$B$7&gt;=I80,1,(Control!$B$7-H80+1)/J80))</f>
        <v>0</v>
      </c>
      <c r="Q80" s="14">
        <v>0</v>
      </c>
      <c r="R80" s="14">
        <f t="shared" si="6"/>
        <v>5.4495912806539499E-3</v>
      </c>
      <c r="S80" s="14">
        <f t="shared" si="7"/>
        <v>0</v>
      </c>
      <c r="T80" s="17">
        <f t="shared" si="8"/>
        <v>0</v>
      </c>
      <c r="U80" t="str">
        <f>IF(Q80&gt;=1,"Complete",IF(Q80&gt;0,"In Progress",IF(Control!$B$7&lt;H80,"Not Started",IF(Control!$B$7&gt;I80,"Late","Ready"))))</f>
        <v>Not Started</v>
      </c>
      <c r="V80" s="15">
        <v>46559</v>
      </c>
      <c r="W80" s="15">
        <v>46565</v>
      </c>
    </row>
    <row r="81" spans="1:23">
      <c r="A81" t="s">
        <v>472</v>
      </c>
      <c r="B81" t="s">
        <v>30</v>
      </c>
      <c r="C81" t="s">
        <v>31</v>
      </c>
      <c r="D81" t="s">
        <v>458</v>
      </c>
      <c r="E81" t="s">
        <v>459</v>
      </c>
      <c r="F81" t="s">
        <v>473</v>
      </c>
      <c r="G81" t="s">
        <v>468</v>
      </c>
      <c r="H81">
        <v>50</v>
      </c>
      <c r="I81">
        <v>50</v>
      </c>
      <c r="J81">
        <v>1</v>
      </c>
      <c r="K81">
        <v>1</v>
      </c>
      <c r="L81" t="s">
        <v>57</v>
      </c>
      <c r="M81" t="s">
        <v>474</v>
      </c>
      <c r="N81" t="s">
        <v>475</v>
      </c>
      <c r="P81" s="14">
        <f>IF(Control!$B$7&lt;H81,0,IF(Control!$B$7&gt;=I81,1,(Control!$B$7-H81+1)/J81))</f>
        <v>0</v>
      </c>
      <c r="Q81" s="14">
        <v>0</v>
      </c>
      <c r="R81" s="14">
        <f t="shared" si="6"/>
        <v>5.4495912806539499E-3</v>
      </c>
      <c r="S81" s="14">
        <f t="shared" si="7"/>
        <v>0</v>
      </c>
      <c r="T81" s="17">
        <f t="shared" si="8"/>
        <v>0</v>
      </c>
      <c r="U81" t="str">
        <f>IF(Q81&gt;=1,"Complete",IF(Q81&gt;0,"In Progress",IF(Control!$B$7&lt;H81,"Not Started",IF(Control!$B$7&gt;I81,"Late","Ready"))))</f>
        <v>Not Started</v>
      </c>
      <c r="V81" s="15">
        <v>46559</v>
      </c>
      <c r="W81" s="15">
        <v>46565</v>
      </c>
    </row>
    <row r="82" spans="1:23">
      <c r="A82" t="s">
        <v>476</v>
      </c>
      <c r="B82" t="s">
        <v>30</v>
      </c>
      <c r="C82" t="s">
        <v>31</v>
      </c>
      <c r="D82" t="s">
        <v>477</v>
      </c>
      <c r="E82" t="s">
        <v>478</v>
      </c>
      <c r="F82" t="s">
        <v>479</v>
      </c>
      <c r="G82" t="s">
        <v>480</v>
      </c>
      <c r="H82">
        <v>51</v>
      </c>
      <c r="I82">
        <v>51</v>
      </c>
      <c r="J82">
        <v>1</v>
      </c>
      <c r="K82">
        <v>1</v>
      </c>
      <c r="L82" t="s">
        <v>57</v>
      </c>
      <c r="M82" t="s">
        <v>481</v>
      </c>
      <c r="N82" t="s">
        <v>482</v>
      </c>
      <c r="P82" s="14">
        <f>IF(Control!$B$7&lt;H82,0,IF(Control!$B$7&gt;=I82,1,(Control!$B$7-H82+1)/J82))</f>
        <v>0</v>
      </c>
      <c r="Q82" s="14">
        <v>0</v>
      </c>
      <c r="R82" s="14">
        <f t="shared" si="6"/>
        <v>5.4495912806539499E-3</v>
      </c>
      <c r="S82" s="14">
        <f t="shared" si="7"/>
        <v>0</v>
      </c>
      <c r="T82" s="17">
        <f t="shared" si="8"/>
        <v>0</v>
      </c>
      <c r="U82" t="str">
        <f>IF(Q82&gt;=1,"Complete",IF(Q82&gt;0,"In Progress",IF(Control!$B$7&lt;H82,"Not Started",IF(Control!$B$7&gt;I82,"Late","Ready"))))</f>
        <v>Not Started</v>
      </c>
      <c r="V82" s="15">
        <v>46566</v>
      </c>
      <c r="W82" s="15">
        <v>46572</v>
      </c>
    </row>
    <row r="83" spans="1:23">
      <c r="A83" t="s">
        <v>483</v>
      </c>
      <c r="B83" t="s">
        <v>30</v>
      </c>
      <c r="C83" t="s">
        <v>31</v>
      </c>
      <c r="D83" t="s">
        <v>477</v>
      </c>
      <c r="E83" t="s">
        <v>478</v>
      </c>
      <c r="F83" t="s">
        <v>484</v>
      </c>
      <c r="G83" t="s">
        <v>476</v>
      </c>
      <c r="H83">
        <v>51</v>
      </c>
      <c r="I83">
        <v>52</v>
      </c>
      <c r="J83">
        <v>2</v>
      </c>
      <c r="K83">
        <v>2</v>
      </c>
      <c r="L83" t="s">
        <v>57</v>
      </c>
      <c r="M83" t="s">
        <v>485</v>
      </c>
      <c r="N83" t="s">
        <v>486</v>
      </c>
      <c r="P83" s="14">
        <f>IF(Control!$B$7&lt;H83,0,IF(Control!$B$7&gt;=I83,1,(Control!$B$7-H83+1)/J83))</f>
        <v>0</v>
      </c>
      <c r="Q83" s="14">
        <v>0</v>
      </c>
      <c r="R83" s="14">
        <f t="shared" si="6"/>
        <v>1.08991825613079E-2</v>
      </c>
      <c r="S83" s="14">
        <f t="shared" si="7"/>
        <v>0</v>
      </c>
      <c r="T83" s="17">
        <f t="shared" si="8"/>
        <v>0</v>
      </c>
      <c r="U83" t="str">
        <f>IF(Q83&gt;=1,"Complete",IF(Q83&gt;0,"In Progress",IF(Control!$B$7&lt;H83,"Not Started",IF(Control!$B$7&gt;I83,"Late","Ready"))))</f>
        <v>Not Started</v>
      </c>
      <c r="V83" s="15">
        <v>46566</v>
      </c>
      <c r="W83" s="15">
        <v>46579</v>
      </c>
    </row>
    <row r="84" spans="1:23">
      <c r="A84" t="s">
        <v>487</v>
      </c>
      <c r="B84" t="s">
        <v>30</v>
      </c>
      <c r="C84" t="s">
        <v>31</v>
      </c>
      <c r="D84" t="s">
        <v>477</v>
      </c>
      <c r="E84" t="s">
        <v>478</v>
      </c>
      <c r="F84" t="s">
        <v>488</v>
      </c>
      <c r="G84" t="s">
        <v>489</v>
      </c>
      <c r="H84">
        <v>53</v>
      </c>
      <c r="I84">
        <v>53</v>
      </c>
      <c r="J84">
        <v>1</v>
      </c>
      <c r="K84">
        <v>1</v>
      </c>
      <c r="L84" t="s">
        <v>57</v>
      </c>
      <c r="M84" t="s">
        <v>490</v>
      </c>
      <c r="N84" t="s">
        <v>491</v>
      </c>
      <c r="P84" s="14">
        <f>IF(Control!$B$7&lt;H84,0,IF(Control!$B$7&gt;=I84,1,(Control!$B$7-H84+1)/J84))</f>
        <v>0</v>
      </c>
      <c r="Q84" s="14">
        <v>0</v>
      </c>
      <c r="R84" s="14">
        <f t="shared" si="6"/>
        <v>5.4495912806539499E-3</v>
      </c>
      <c r="S84" s="14">
        <f t="shared" si="7"/>
        <v>0</v>
      </c>
      <c r="T84" s="17">
        <f t="shared" si="8"/>
        <v>0</v>
      </c>
      <c r="U84" t="str">
        <f>IF(Q84&gt;=1,"Complete",IF(Q84&gt;0,"In Progress",IF(Control!$B$7&lt;H84,"Not Started",IF(Control!$B$7&gt;I84,"Late","Ready"))))</f>
        <v>Not Started</v>
      </c>
      <c r="V84" s="15">
        <v>46580</v>
      </c>
      <c r="W84" s="15">
        <v>46586</v>
      </c>
    </row>
    <row r="85" spans="1:23">
      <c r="A85" t="s">
        <v>492</v>
      </c>
      <c r="B85" t="s">
        <v>30</v>
      </c>
      <c r="C85" t="s">
        <v>31</v>
      </c>
      <c r="D85" t="s">
        <v>477</v>
      </c>
      <c r="E85" t="s">
        <v>478</v>
      </c>
      <c r="F85" t="s">
        <v>493</v>
      </c>
      <c r="G85" t="s">
        <v>494</v>
      </c>
      <c r="H85">
        <v>54</v>
      </c>
      <c r="I85">
        <v>54</v>
      </c>
      <c r="J85">
        <v>1</v>
      </c>
      <c r="K85">
        <v>1</v>
      </c>
      <c r="L85" t="s">
        <v>57</v>
      </c>
      <c r="M85" t="s">
        <v>495</v>
      </c>
      <c r="N85" t="s">
        <v>496</v>
      </c>
      <c r="P85" s="14">
        <f>IF(Control!$B$7&lt;H85,0,IF(Control!$B$7&gt;=I85,1,(Control!$B$7-H85+1)/J85))</f>
        <v>0</v>
      </c>
      <c r="Q85" s="14">
        <v>0</v>
      </c>
      <c r="R85" s="14">
        <f t="shared" si="6"/>
        <v>5.4495912806539499E-3</v>
      </c>
      <c r="S85" s="14">
        <f t="shared" si="7"/>
        <v>0</v>
      </c>
      <c r="T85" s="17">
        <f t="shared" si="8"/>
        <v>0</v>
      </c>
      <c r="U85" t="str">
        <f>IF(Q85&gt;=1,"Complete",IF(Q85&gt;0,"In Progress",IF(Control!$B$7&lt;H85,"Not Started",IF(Control!$B$7&gt;I85,"Late","Ready"))))</f>
        <v>Not Started</v>
      </c>
      <c r="V85" s="15">
        <v>46587</v>
      </c>
      <c r="W85" s="15">
        <v>46593</v>
      </c>
    </row>
    <row r="86" spans="1:23">
      <c r="A86" t="s">
        <v>497</v>
      </c>
      <c r="B86" t="s">
        <v>30</v>
      </c>
      <c r="C86" t="s">
        <v>31</v>
      </c>
      <c r="D86" t="s">
        <v>498</v>
      </c>
      <c r="E86" t="s">
        <v>499</v>
      </c>
      <c r="F86" t="s">
        <v>500</v>
      </c>
      <c r="G86" t="s">
        <v>360</v>
      </c>
      <c r="H86">
        <v>35</v>
      </c>
      <c r="I86">
        <v>36</v>
      </c>
      <c r="J86">
        <v>2</v>
      </c>
      <c r="K86">
        <v>2</v>
      </c>
      <c r="L86" t="s">
        <v>57</v>
      </c>
      <c r="M86" t="s">
        <v>501</v>
      </c>
      <c r="N86" t="s">
        <v>502</v>
      </c>
      <c r="P86" s="14">
        <f>IF(Control!$B$7&lt;H86,0,IF(Control!$B$7&gt;=I86,1,(Control!$B$7-H86+1)/J86))</f>
        <v>0</v>
      </c>
      <c r="Q86" s="14">
        <v>0</v>
      </c>
      <c r="R86" s="14">
        <f t="shared" si="6"/>
        <v>1.08991825613079E-2</v>
      </c>
      <c r="S86" s="14">
        <f t="shared" si="7"/>
        <v>0</v>
      </c>
      <c r="T86" s="17">
        <f t="shared" si="8"/>
        <v>0</v>
      </c>
      <c r="U86" t="str">
        <f>IF(Q86&gt;=1,"Complete",IF(Q86&gt;0,"In Progress",IF(Control!$B$7&lt;H86,"Not Started",IF(Control!$B$7&gt;I86,"Late","Ready"))))</f>
        <v>Not Started</v>
      </c>
      <c r="V86" s="15">
        <v>46454</v>
      </c>
      <c r="W86" s="15">
        <v>46467</v>
      </c>
    </row>
    <row r="87" spans="1:23">
      <c r="A87" t="s">
        <v>503</v>
      </c>
      <c r="B87" t="s">
        <v>30</v>
      </c>
      <c r="C87" t="s">
        <v>31</v>
      </c>
      <c r="D87" t="s">
        <v>498</v>
      </c>
      <c r="E87" t="s">
        <v>499</v>
      </c>
      <c r="F87" t="s">
        <v>504</v>
      </c>
      <c r="G87" t="s">
        <v>497</v>
      </c>
      <c r="H87">
        <v>43</v>
      </c>
      <c r="I87">
        <v>44</v>
      </c>
      <c r="J87">
        <v>2</v>
      </c>
      <c r="K87">
        <v>2</v>
      </c>
      <c r="L87" t="s">
        <v>57</v>
      </c>
      <c r="M87" t="s">
        <v>505</v>
      </c>
      <c r="N87" t="s">
        <v>506</v>
      </c>
      <c r="P87" s="14">
        <f>IF(Control!$B$7&lt;H87,0,IF(Control!$B$7&gt;=I87,1,(Control!$B$7-H87+1)/J87))</f>
        <v>0</v>
      </c>
      <c r="Q87" s="14">
        <v>0</v>
      </c>
      <c r="R87" s="14">
        <f t="shared" si="6"/>
        <v>1.08991825613079E-2</v>
      </c>
      <c r="S87" s="14">
        <f t="shared" si="7"/>
        <v>0</v>
      </c>
      <c r="T87" s="17">
        <f t="shared" si="8"/>
        <v>0</v>
      </c>
      <c r="U87" t="str">
        <f>IF(Q87&gt;=1,"Complete",IF(Q87&gt;0,"In Progress",IF(Control!$B$7&lt;H87,"Not Started",IF(Control!$B$7&gt;I87,"Late","Ready"))))</f>
        <v>Not Started</v>
      </c>
      <c r="V87" s="15">
        <v>46510</v>
      </c>
      <c r="W87" s="15">
        <v>46523</v>
      </c>
    </row>
    <row r="88" spans="1:23">
      <c r="A88" t="s">
        <v>507</v>
      </c>
      <c r="B88" t="s">
        <v>30</v>
      </c>
      <c r="C88" t="s">
        <v>31</v>
      </c>
      <c r="D88" t="s">
        <v>498</v>
      </c>
      <c r="E88" t="s">
        <v>499</v>
      </c>
      <c r="F88" t="s">
        <v>508</v>
      </c>
      <c r="G88" t="s">
        <v>509</v>
      </c>
      <c r="H88">
        <v>53</v>
      </c>
      <c r="I88">
        <v>54</v>
      </c>
      <c r="J88">
        <v>2</v>
      </c>
      <c r="K88">
        <v>2</v>
      </c>
      <c r="L88" t="s">
        <v>57</v>
      </c>
      <c r="M88" t="s">
        <v>510</v>
      </c>
      <c r="N88" t="s">
        <v>511</v>
      </c>
      <c r="P88" s="14">
        <f>IF(Control!$B$7&lt;H88,0,IF(Control!$B$7&gt;=I88,1,(Control!$B$7-H88+1)/J88))</f>
        <v>0</v>
      </c>
      <c r="Q88" s="14">
        <v>0</v>
      </c>
      <c r="R88" s="14">
        <f t="shared" si="6"/>
        <v>1.08991825613079E-2</v>
      </c>
      <c r="S88" s="14">
        <f t="shared" si="7"/>
        <v>0</v>
      </c>
      <c r="T88" s="17">
        <f t="shared" si="8"/>
        <v>0</v>
      </c>
      <c r="U88" t="str">
        <f>IF(Q88&gt;=1,"Complete",IF(Q88&gt;0,"In Progress",IF(Control!$B$7&lt;H88,"Not Started",IF(Control!$B$7&gt;I88,"Late","Ready"))))</f>
        <v>Not Started</v>
      </c>
      <c r="V88" s="15">
        <v>46580</v>
      </c>
      <c r="W88" s="15">
        <v>46593</v>
      </c>
    </row>
    <row r="89" spans="1:23">
      <c r="A89" t="s">
        <v>512</v>
      </c>
      <c r="B89" t="s">
        <v>30</v>
      </c>
      <c r="C89" t="s">
        <v>31</v>
      </c>
      <c r="D89" t="s">
        <v>498</v>
      </c>
      <c r="E89" t="s">
        <v>499</v>
      </c>
      <c r="F89" t="s">
        <v>513</v>
      </c>
      <c r="G89" t="s">
        <v>507</v>
      </c>
      <c r="H89">
        <v>54</v>
      </c>
      <c r="I89">
        <v>54</v>
      </c>
      <c r="J89">
        <v>1</v>
      </c>
      <c r="K89">
        <v>1</v>
      </c>
      <c r="L89" t="s">
        <v>57</v>
      </c>
      <c r="M89" t="s">
        <v>514</v>
      </c>
      <c r="N89" t="s">
        <v>515</v>
      </c>
      <c r="P89" s="14">
        <f>IF(Control!$B$7&lt;H89,0,IF(Control!$B$7&gt;=I89,1,(Control!$B$7-H89+1)/J89))</f>
        <v>0</v>
      </c>
      <c r="Q89" s="14">
        <v>0</v>
      </c>
      <c r="R89" s="14">
        <f t="shared" si="6"/>
        <v>5.4495912806539499E-3</v>
      </c>
      <c r="S89" s="14">
        <f t="shared" si="7"/>
        <v>0</v>
      </c>
      <c r="T89" s="17">
        <f t="shared" si="8"/>
        <v>0</v>
      </c>
      <c r="U89" t="str">
        <f>IF(Q89&gt;=1,"Complete",IF(Q89&gt;0,"In Progress",IF(Control!$B$7&lt;H89,"Not Started",IF(Control!$B$7&gt;I89,"Late","Ready"))))</f>
        <v>Not Started</v>
      </c>
      <c r="V89" s="15">
        <v>46587</v>
      </c>
      <c r="W89" s="15">
        <v>46593</v>
      </c>
    </row>
    <row r="90" spans="1:23">
      <c r="A90" t="s">
        <v>516</v>
      </c>
      <c r="B90" t="s">
        <v>30</v>
      </c>
      <c r="C90" t="s">
        <v>31</v>
      </c>
      <c r="D90" t="s">
        <v>365</v>
      </c>
      <c r="E90" t="s">
        <v>366</v>
      </c>
      <c r="F90" t="s">
        <v>517</v>
      </c>
      <c r="G90" t="s">
        <v>518</v>
      </c>
      <c r="H90">
        <v>55</v>
      </c>
      <c r="I90">
        <v>55</v>
      </c>
      <c r="J90">
        <v>1</v>
      </c>
      <c r="K90">
        <v>1.4</v>
      </c>
      <c r="L90" t="s">
        <v>57</v>
      </c>
      <c r="M90" t="s">
        <v>519</v>
      </c>
      <c r="N90" t="s">
        <v>520</v>
      </c>
      <c r="O90" t="s">
        <v>32</v>
      </c>
      <c r="P90" s="14">
        <f>IF(Control!$B$7&lt;H90,0,IF(Control!$B$7&gt;=I90,1,(Control!$B$7-H90+1)/J90))</f>
        <v>0</v>
      </c>
      <c r="Q90" s="14">
        <v>0</v>
      </c>
      <c r="R90" s="14">
        <f t="shared" si="6"/>
        <v>7.6294277929155295E-3</v>
      </c>
      <c r="S90" s="14">
        <f t="shared" si="7"/>
        <v>0</v>
      </c>
      <c r="T90" s="17">
        <f t="shared" si="8"/>
        <v>0</v>
      </c>
      <c r="U90" t="str">
        <f>IF(Q90&gt;=1,"Complete",IF(Q90&gt;0,"In Progress",IF(Control!$B$7&lt;H90,"Not Started",IF(Control!$B$7&gt;I90,"Late","Ready"))))</f>
        <v>Not Started</v>
      </c>
      <c r="V90" s="15">
        <v>46594</v>
      </c>
      <c r="W90" s="15">
        <v>46600</v>
      </c>
    </row>
    <row r="91" spans="1:23">
      <c r="A91" t="s">
        <v>521</v>
      </c>
      <c r="B91" t="s">
        <v>30</v>
      </c>
      <c r="C91" t="s">
        <v>31</v>
      </c>
      <c r="D91" t="s">
        <v>365</v>
      </c>
      <c r="E91" t="s">
        <v>366</v>
      </c>
      <c r="F91" t="s">
        <v>522</v>
      </c>
      <c r="G91" t="s">
        <v>516</v>
      </c>
      <c r="H91">
        <v>56</v>
      </c>
      <c r="I91">
        <v>56</v>
      </c>
      <c r="J91">
        <v>1</v>
      </c>
      <c r="K91">
        <v>1.4</v>
      </c>
      <c r="L91" t="s">
        <v>57</v>
      </c>
      <c r="M91" t="s">
        <v>523</v>
      </c>
      <c r="N91" t="s">
        <v>524</v>
      </c>
      <c r="O91" t="s">
        <v>32</v>
      </c>
      <c r="P91" s="14">
        <f>IF(Control!$B$7&lt;H91,0,IF(Control!$B$7&gt;=I91,1,(Control!$B$7-H91+1)/J91))</f>
        <v>0</v>
      </c>
      <c r="Q91" s="14">
        <v>0</v>
      </c>
      <c r="R91" s="14">
        <f t="shared" si="6"/>
        <v>7.6294277929155295E-3</v>
      </c>
      <c r="S91" s="14">
        <f t="shared" si="7"/>
        <v>0</v>
      </c>
      <c r="T91" s="17">
        <f t="shared" si="8"/>
        <v>0</v>
      </c>
      <c r="U91" t="str">
        <f>IF(Q91&gt;=1,"Complete",IF(Q91&gt;0,"In Progress",IF(Control!$B$7&lt;H91,"Not Started",IF(Control!$B$7&gt;I91,"Late","Ready"))))</f>
        <v>Not Started</v>
      </c>
      <c r="V91" s="15">
        <v>46601</v>
      </c>
      <c r="W91" s="15">
        <v>46607</v>
      </c>
    </row>
    <row r="92" spans="1:23">
      <c r="A92" t="s">
        <v>525</v>
      </c>
      <c r="B92" t="s">
        <v>33</v>
      </c>
      <c r="C92" t="s">
        <v>34</v>
      </c>
      <c r="D92" t="s">
        <v>526</v>
      </c>
      <c r="E92" t="s">
        <v>527</v>
      </c>
      <c r="F92" t="s">
        <v>528</v>
      </c>
      <c r="G92" t="s">
        <v>521</v>
      </c>
      <c r="H92">
        <v>57</v>
      </c>
      <c r="I92">
        <v>57</v>
      </c>
      <c r="J92">
        <v>1</v>
      </c>
      <c r="K92">
        <v>1</v>
      </c>
      <c r="L92" t="s">
        <v>57</v>
      </c>
      <c r="M92" t="s">
        <v>529</v>
      </c>
      <c r="N92" t="s">
        <v>530</v>
      </c>
      <c r="P92" s="14">
        <f>IF(Control!$B$7&lt;H92,0,IF(Control!$B$7&gt;=I92,1,(Control!$B$7-H92+1)/J92))</f>
        <v>0</v>
      </c>
      <c r="Q92" s="14">
        <v>0</v>
      </c>
      <c r="R92" s="14">
        <f t="shared" si="6"/>
        <v>5.4495912806539499E-3</v>
      </c>
      <c r="S92" s="14">
        <f t="shared" si="7"/>
        <v>0</v>
      </c>
      <c r="T92" s="17">
        <f t="shared" si="8"/>
        <v>0</v>
      </c>
      <c r="U92" t="str">
        <f>IF(Q92&gt;=1,"Complete",IF(Q92&gt;0,"In Progress",IF(Control!$B$7&lt;H92,"Not Started",IF(Control!$B$7&gt;I92,"Late","Ready"))))</f>
        <v>Not Started</v>
      </c>
      <c r="V92" s="15">
        <v>46608</v>
      </c>
      <c r="W92" s="15">
        <v>46614</v>
      </c>
    </row>
    <row r="93" spans="1:23">
      <c r="A93" t="s">
        <v>531</v>
      </c>
      <c r="B93" t="s">
        <v>33</v>
      </c>
      <c r="C93" t="s">
        <v>34</v>
      </c>
      <c r="D93" t="s">
        <v>526</v>
      </c>
      <c r="E93" t="s">
        <v>527</v>
      </c>
      <c r="F93" t="s">
        <v>532</v>
      </c>
      <c r="G93" t="s">
        <v>525</v>
      </c>
      <c r="H93">
        <v>58</v>
      </c>
      <c r="I93">
        <v>58</v>
      </c>
      <c r="J93">
        <v>1</v>
      </c>
      <c r="K93">
        <v>1</v>
      </c>
      <c r="L93" t="s">
        <v>57</v>
      </c>
      <c r="M93" t="s">
        <v>533</v>
      </c>
      <c r="N93" t="s">
        <v>534</v>
      </c>
      <c r="P93" s="14">
        <f>IF(Control!$B$7&lt;H93,0,IF(Control!$B$7&gt;=I93,1,(Control!$B$7-H93+1)/J93))</f>
        <v>0</v>
      </c>
      <c r="Q93" s="14">
        <v>0</v>
      </c>
      <c r="R93" s="14">
        <f t="shared" si="6"/>
        <v>5.4495912806539499E-3</v>
      </c>
      <c r="S93" s="14">
        <f t="shared" si="7"/>
        <v>0</v>
      </c>
      <c r="T93" s="17">
        <f t="shared" si="8"/>
        <v>0</v>
      </c>
      <c r="U93" t="str">
        <f>IF(Q93&gt;=1,"Complete",IF(Q93&gt;0,"In Progress",IF(Control!$B$7&lt;H93,"Not Started",IF(Control!$B$7&gt;I93,"Late","Ready"))))</f>
        <v>Not Started</v>
      </c>
      <c r="V93" s="15">
        <v>46615</v>
      </c>
      <c r="W93" s="15">
        <v>46621</v>
      </c>
    </row>
    <row r="94" spans="1:23">
      <c r="A94" t="s">
        <v>535</v>
      </c>
      <c r="B94" t="s">
        <v>33</v>
      </c>
      <c r="C94" t="s">
        <v>34</v>
      </c>
      <c r="D94" t="s">
        <v>526</v>
      </c>
      <c r="E94" t="s">
        <v>527</v>
      </c>
      <c r="F94" t="s">
        <v>536</v>
      </c>
      <c r="G94" t="s">
        <v>531</v>
      </c>
      <c r="H94">
        <v>58</v>
      </c>
      <c r="I94">
        <v>58</v>
      </c>
      <c r="J94">
        <v>1</v>
      </c>
      <c r="K94">
        <v>1</v>
      </c>
      <c r="L94" t="s">
        <v>57</v>
      </c>
      <c r="M94" t="s">
        <v>537</v>
      </c>
      <c r="N94" t="s">
        <v>538</v>
      </c>
      <c r="P94" s="14">
        <f>IF(Control!$B$7&lt;H94,0,IF(Control!$B$7&gt;=I94,1,(Control!$B$7-H94+1)/J94))</f>
        <v>0</v>
      </c>
      <c r="Q94" s="14">
        <v>0</v>
      </c>
      <c r="R94" s="14">
        <f t="shared" si="6"/>
        <v>5.4495912806539499E-3</v>
      </c>
      <c r="S94" s="14">
        <f t="shared" si="7"/>
        <v>0</v>
      </c>
      <c r="T94" s="17">
        <f t="shared" si="8"/>
        <v>0</v>
      </c>
      <c r="U94" t="str">
        <f>IF(Q94&gt;=1,"Complete",IF(Q94&gt;0,"In Progress",IF(Control!$B$7&lt;H94,"Not Started",IF(Control!$B$7&gt;I94,"Late","Ready"))))</f>
        <v>Not Started</v>
      </c>
      <c r="V94" s="15">
        <v>46615</v>
      </c>
      <c r="W94" s="15">
        <v>46621</v>
      </c>
    </row>
    <row r="95" spans="1:23">
      <c r="A95" t="s">
        <v>539</v>
      </c>
      <c r="B95" t="s">
        <v>33</v>
      </c>
      <c r="C95" t="s">
        <v>34</v>
      </c>
      <c r="D95" t="s">
        <v>540</v>
      </c>
      <c r="E95" t="s">
        <v>541</v>
      </c>
      <c r="F95" t="s">
        <v>542</v>
      </c>
      <c r="G95" t="s">
        <v>521</v>
      </c>
      <c r="H95">
        <v>57</v>
      </c>
      <c r="I95">
        <v>58</v>
      </c>
      <c r="J95">
        <v>2</v>
      </c>
      <c r="K95">
        <v>2</v>
      </c>
      <c r="L95" t="s">
        <v>57</v>
      </c>
      <c r="M95" t="s">
        <v>543</v>
      </c>
      <c r="N95" t="s">
        <v>544</v>
      </c>
      <c r="P95" s="14">
        <f>IF(Control!$B$7&lt;H95,0,IF(Control!$B$7&gt;=I95,1,(Control!$B$7-H95+1)/J95))</f>
        <v>0</v>
      </c>
      <c r="Q95" s="14">
        <v>0</v>
      </c>
      <c r="R95" s="14">
        <f t="shared" si="6"/>
        <v>1.08991825613079E-2</v>
      </c>
      <c r="S95" s="14">
        <f t="shared" si="7"/>
        <v>0</v>
      </c>
      <c r="T95" s="17">
        <f t="shared" si="8"/>
        <v>0</v>
      </c>
      <c r="U95" t="str">
        <f>IF(Q95&gt;=1,"Complete",IF(Q95&gt;0,"In Progress",IF(Control!$B$7&lt;H95,"Not Started",IF(Control!$B$7&gt;I95,"Late","Ready"))))</f>
        <v>Not Started</v>
      </c>
      <c r="V95" s="15">
        <v>46608</v>
      </c>
      <c r="W95" s="15">
        <v>46621</v>
      </c>
    </row>
    <row r="96" spans="1:23">
      <c r="A96" t="s">
        <v>545</v>
      </c>
      <c r="B96" t="s">
        <v>33</v>
      </c>
      <c r="C96" t="s">
        <v>34</v>
      </c>
      <c r="D96" t="s">
        <v>540</v>
      </c>
      <c r="E96" t="s">
        <v>541</v>
      </c>
      <c r="F96" t="s">
        <v>546</v>
      </c>
      <c r="G96" t="s">
        <v>539</v>
      </c>
      <c r="H96">
        <v>59</v>
      </c>
      <c r="I96">
        <v>59</v>
      </c>
      <c r="J96">
        <v>1</v>
      </c>
      <c r="K96">
        <v>1</v>
      </c>
      <c r="L96" t="s">
        <v>57</v>
      </c>
      <c r="M96" t="s">
        <v>547</v>
      </c>
      <c r="N96" t="s">
        <v>548</v>
      </c>
      <c r="P96" s="14">
        <f>IF(Control!$B$7&lt;H96,0,IF(Control!$B$7&gt;=I96,1,(Control!$B$7-H96+1)/J96))</f>
        <v>0</v>
      </c>
      <c r="Q96" s="14">
        <v>0</v>
      </c>
      <c r="R96" s="14">
        <f t="shared" si="6"/>
        <v>5.4495912806539499E-3</v>
      </c>
      <c r="S96" s="14">
        <f t="shared" si="7"/>
        <v>0</v>
      </c>
      <c r="T96" s="17">
        <f t="shared" si="8"/>
        <v>0</v>
      </c>
      <c r="U96" t="str">
        <f>IF(Q96&gt;=1,"Complete",IF(Q96&gt;0,"In Progress",IF(Control!$B$7&lt;H96,"Not Started",IF(Control!$B$7&gt;I96,"Late","Ready"))))</f>
        <v>Not Started</v>
      </c>
      <c r="V96" s="15">
        <v>46622</v>
      </c>
      <c r="W96" s="15">
        <v>46628</v>
      </c>
    </row>
    <row r="97" spans="1:23">
      <c r="A97" t="s">
        <v>549</v>
      </c>
      <c r="B97" t="s">
        <v>33</v>
      </c>
      <c r="C97" t="s">
        <v>34</v>
      </c>
      <c r="D97" t="s">
        <v>540</v>
      </c>
      <c r="E97" t="s">
        <v>541</v>
      </c>
      <c r="F97" t="s">
        <v>550</v>
      </c>
      <c r="G97" t="s">
        <v>545</v>
      </c>
      <c r="H97">
        <v>60</v>
      </c>
      <c r="I97">
        <v>60</v>
      </c>
      <c r="J97">
        <v>1</v>
      </c>
      <c r="K97">
        <v>1</v>
      </c>
      <c r="L97" t="s">
        <v>57</v>
      </c>
      <c r="M97" t="s">
        <v>551</v>
      </c>
      <c r="N97" t="s">
        <v>552</v>
      </c>
      <c r="P97" s="14">
        <f>IF(Control!$B$7&lt;H97,0,IF(Control!$B$7&gt;=I97,1,(Control!$B$7-H97+1)/J97))</f>
        <v>0</v>
      </c>
      <c r="Q97" s="14">
        <v>0</v>
      </c>
      <c r="R97" s="14">
        <f t="shared" si="6"/>
        <v>5.4495912806539499E-3</v>
      </c>
      <c r="S97" s="14">
        <f t="shared" si="7"/>
        <v>0</v>
      </c>
      <c r="T97" s="17">
        <f t="shared" si="8"/>
        <v>0</v>
      </c>
      <c r="U97" t="str">
        <f>IF(Q97&gt;=1,"Complete",IF(Q97&gt;0,"In Progress",IF(Control!$B$7&lt;H97,"Not Started",IF(Control!$B$7&gt;I97,"Late","Ready"))))</f>
        <v>Not Started</v>
      </c>
      <c r="V97" s="15">
        <v>46629</v>
      </c>
      <c r="W97" s="15">
        <v>46635</v>
      </c>
    </row>
    <row r="98" spans="1:23">
      <c r="A98" t="s">
        <v>553</v>
      </c>
      <c r="B98" t="s">
        <v>33</v>
      </c>
      <c r="C98" t="s">
        <v>34</v>
      </c>
      <c r="D98" t="s">
        <v>554</v>
      </c>
      <c r="E98" t="s">
        <v>555</v>
      </c>
      <c r="F98" t="s">
        <v>556</v>
      </c>
      <c r="G98" t="s">
        <v>549</v>
      </c>
      <c r="H98">
        <v>61</v>
      </c>
      <c r="I98">
        <v>61</v>
      </c>
      <c r="J98">
        <v>1</v>
      </c>
      <c r="K98">
        <v>1</v>
      </c>
      <c r="L98" t="s">
        <v>57</v>
      </c>
      <c r="M98" t="s">
        <v>557</v>
      </c>
      <c r="N98" t="s">
        <v>558</v>
      </c>
      <c r="P98" s="14">
        <f>IF(Control!$B$7&lt;H98,0,IF(Control!$B$7&gt;=I98,1,(Control!$B$7-H98+1)/J98))</f>
        <v>0</v>
      </c>
      <c r="Q98" s="14">
        <v>0</v>
      </c>
      <c r="R98" s="14">
        <f t="shared" si="6"/>
        <v>5.4495912806539499E-3</v>
      </c>
      <c r="S98" s="14">
        <f t="shared" si="7"/>
        <v>0</v>
      </c>
      <c r="T98" s="17">
        <f t="shared" si="8"/>
        <v>0</v>
      </c>
      <c r="U98" t="str">
        <f>IF(Q98&gt;=1,"Complete",IF(Q98&gt;0,"In Progress",IF(Control!$B$7&lt;H98,"Not Started",IF(Control!$B$7&gt;I98,"Late","Ready"))))</f>
        <v>Not Started</v>
      </c>
      <c r="V98" s="15">
        <v>46636</v>
      </c>
      <c r="W98" s="15">
        <v>46642</v>
      </c>
    </row>
    <row r="99" spans="1:23">
      <c r="A99" t="s">
        <v>559</v>
      </c>
      <c r="B99" t="s">
        <v>33</v>
      </c>
      <c r="C99" t="s">
        <v>34</v>
      </c>
      <c r="D99" t="s">
        <v>554</v>
      </c>
      <c r="E99" t="s">
        <v>555</v>
      </c>
      <c r="F99" t="s">
        <v>560</v>
      </c>
      <c r="G99" t="s">
        <v>553</v>
      </c>
      <c r="H99">
        <v>62</v>
      </c>
      <c r="I99">
        <v>62</v>
      </c>
      <c r="J99">
        <v>1</v>
      </c>
      <c r="K99">
        <v>1</v>
      </c>
      <c r="L99" t="s">
        <v>57</v>
      </c>
      <c r="M99" t="s">
        <v>561</v>
      </c>
      <c r="N99" t="s">
        <v>562</v>
      </c>
      <c r="P99" s="14">
        <f>IF(Control!$B$7&lt;H99,0,IF(Control!$B$7&gt;=I99,1,(Control!$B$7-H99+1)/J99))</f>
        <v>0</v>
      </c>
      <c r="Q99" s="14">
        <v>0</v>
      </c>
      <c r="R99" s="14">
        <f t="shared" si="6"/>
        <v>5.4495912806539499E-3</v>
      </c>
      <c r="S99" s="14">
        <f t="shared" si="7"/>
        <v>0</v>
      </c>
      <c r="T99" s="17">
        <f t="shared" si="8"/>
        <v>0</v>
      </c>
      <c r="U99" t="str">
        <f>IF(Q99&gt;=1,"Complete",IF(Q99&gt;0,"In Progress",IF(Control!$B$7&lt;H99,"Not Started",IF(Control!$B$7&gt;I99,"Late","Ready"))))</f>
        <v>Not Started</v>
      </c>
      <c r="V99" s="15">
        <v>46643</v>
      </c>
      <c r="W99" s="15">
        <v>46649</v>
      </c>
    </row>
    <row r="100" spans="1:23">
      <c r="A100" t="s">
        <v>563</v>
      </c>
      <c r="B100" t="s">
        <v>33</v>
      </c>
      <c r="C100" t="s">
        <v>34</v>
      </c>
      <c r="D100" t="s">
        <v>554</v>
      </c>
      <c r="E100" t="s">
        <v>555</v>
      </c>
      <c r="F100" t="s">
        <v>564</v>
      </c>
      <c r="G100" t="s">
        <v>559</v>
      </c>
      <c r="H100">
        <v>62</v>
      </c>
      <c r="I100">
        <v>62</v>
      </c>
      <c r="J100">
        <v>1</v>
      </c>
      <c r="K100">
        <v>1</v>
      </c>
      <c r="L100" t="s">
        <v>57</v>
      </c>
      <c r="M100" t="s">
        <v>565</v>
      </c>
      <c r="N100" t="s">
        <v>566</v>
      </c>
      <c r="P100" s="14">
        <f>IF(Control!$B$7&lt;H100,0,IF(Control!$B$7&gt;=I100,1,(Control!$B$7-H100+1)/J100))</f>
        <v>0</v>
      </c>
      <c r="Q100" s="14">
        <v>0</v>
      </c>
      <c r="R100" s="14">
        <f t="shared" si="6"/>
        <v>5.4495912806539499E-3</v>
      </c>
      <c r="S100" s="14">
        <f t="shared" si="7"/>
        <v>0</v>
      </c>
      <c r="T100" s="17">
        <f t="shared" si="8"/>
        <v>0</v>
      </c>
      <c r="U100" t="str">
        <f>IF(Q100&gt;=1,"Complete",IF(Q100&gt;0,"In Progress",IF(Control!$B$7&lt;H100,"Not Started",IF(Control!$B$7&gt;I100,"Late","Ready"))))</f>
        <v>Not Started</v>
      </c>
      <c r="V100" s="15">
        <v>46643</v>
      </c>
      <c r="W100" s="15">
        <v>46649</v>
      </c>
    </row>
    <row r="101" spans="1:23">
      <c r="A101" t="s">
        <v>567</v>
      </c>
      <c r="B101" t="s">
        <v>33</v>
      </c>
      <c r="C101" t="s">
        <v>34</v>
      </c>
      <c r="D101" t="s">
        <v>568</v>
      </c>
      <c r="E101" t="s">
        <v>569</v>
      </c>
      <c r="F101" t="s">
        <v>570</v>
      </c>
      <c r="G101" t="s">
        <v>563</v>
      </c>
      <c r="H101">
        <v>63</v>
      </c>
      <c r="I101">
        <v>63</v>
      </c>
      <c r="J101">
        <v>1</v>
      </c>
      <c r="K101">
        <v>1</v>
      </c>
      <c r="L101" t="s">
        <v>57</v>
      </c>
      <c r="M101" t="s">
        <v>571</v>
      </c>
      <c r="N101" t="s">
        <v>572</v>
      </c>
      <c r="P101" s="14">
        <f>IF(Control!$B$7&lt;H101,0,IF(Control!$B$7&gt;=I101,1,(Control!$B$7-H101+1)/J101))</f>
        <v>0</v>
      </c>
      <c r="Q101" s="14">
        <v>0</v>
      </c>
      <c r="R101" s="14">
        <f t="shared" ref="R101:R137" si="9">K101/SUM($K$5:$K$137)</f>
        <v>5.4495912806539499E-3</v>
      </c>
      <c r="S101" s="14">
        <f t="shared" ref="S101:S132" si="10">P101*R101</f>
        <v>0</v>
      </c>
      <c r="T101" s="17">
        <f t="shared" ref="T101:T137" si="11">Q101*R101</f>
        <v>0</v>
      </c>
      <c r="U101" t="str">
        <f>IF(Q101&gt;=1,"Complete",IF(Q101&gt;0,"In Progress",IF(Control!$B$7&lt;H101,"Not Started",IF(Control!$B$7&gt;I101,"Late","Ready"))))</f>
        <v>Not Started</v>
      </c>
      <c r="V101" s="15">
        <v>46650</v>
      </c>
      <c r="W101" s="15">
        <v>46656</v>
      </c>
    </row>
    <row r="102" spans="1:23">
      <c r="A102" t="s">
        <v>573</v>
      </c>
      <c r="B102" t="s">
        <v>33</v>
      </c>
      <c r="C102" t="s">
        <v>34</v>
      </c>
      <c r="D102" t="s">
        <v>568</v>
      </c>
      <c r="E102" t="s">
        <v>569</v>
      </c>
      <c r="F102" t="s">
        <v>574</v>
      </c>
      <c r="G102" t="s">
        <v>567</v>
      </c>
      <c r="H102">
        <v>64</v>
      </c>
      <c r="I102">
        <v>64</v>
      </c>
      <c r="J102">
        <v>1</v>
      </c>
      <c r="K102">
        <v>1</v>
      </c>
      <c r="L102" t="s">
        <v>57</v>
      </c>
      <c r="M102" t="s">
        <v>575</v>
      </c>
      <c r="N102" t="s">
        <v>576</v>
      </c>
      <c r="P102" s="14">
        <f>IF(Control!$B$7&lt;H102,0,IF(Control!$B$7&gt;=I102,1,(Control!$B$7-H102+1)/J102))</f>
        <v>0</v>
      </c>
      <c r="Q102" s="14">
        <v>0</v>
      </c>
      <c r="R102" s="14">
        <f t="shared" si="9"/>
        <v>5.4495912806539499E-3</v>
      </c>
      <c r="S102" s="14">
        <f t="shared" si="10"/>
        <v>0</v>
      </c>
      <c r="T102" s="17">
        <f t="shared" si="11"/>
        <v>0</v>
      </c>
      <c r="U102" t="str">
        <f>IF(Q102&gt;=1,"Complete",IF(Q102&gt;0,"In Progress",IF(Control!$B$7&lt;H102,"Not Started",IF(Control!$B$7&gt;I102,"Late","Ready"))))</f>
        <v>Not Started</v>
      </c>
      <c r="V102" s="15">
        <v>46657</v>
      </c>
      <c r="W102" s="15">
        <v>46663</v>
      </c>
    </row>
    <row r="103" spans="1:23">
      <c r="A103" t="s">
        <v>577</v>
      </c>
      <c r="B103" t="s">
        <v>33</v>
      </c>
      <c r="C103" t="s">
        <v>34</v>
      </c>
      <c r="D103" t="s">
        <v>568</v>
      </c>
      <c r="E103" t="s">
        <v>569</v>
      </c>
      <c r="F103" t="s">
        <v>578</v>
      </c>
      <c r="G103" t="s">
        <v>573</v>
      </c>
      <c r="H103">
        <v>65</v>
      </c>
      <c r="I103">
        <v>65</v>
      </c>
      <c r="J103">
        <v>1</v>
      </c>
      <c r="K103">
        <v>1</v>
      </c>
      <c r="L103" t="s">
        <v>57</v>
      </c>
      <c r="M103" t="s">
        <v>579</v>
      </c>
      <c r="N103" t="s">
        <v>580</v>
      </c>
      <c r="P103" s="14">
        <f>IF(Control!$B$7&lt;H103,0,IF(Control!$B$7&gt;=I103,1,(Control!$B$7-H103+1)/J103))</f>
        <v>0</v>
      </c>
      <c r="Q103" s="14">
        <v>0</v>
      </c>
      <c r="R103" s="14">
        <f t="shared" si="9"/>
        <v>5.4495912806539499E-3</v>
      </c>
      <c r="S103" s="14">
        <f t="shared" si="10"/>
        <v>0</v>
      </c>
      <c r="T103" s="17">
        <f t="shared" si="11"/>
        <v>0</v>
      </c>
      <c r="U103" t="str">
        <f>IF(Q103&gt;=1,"Complete",IF(Q103&gt;0,"In Progress",IF(Control!$B$7&lt;H103,"Not Started",IF(Control!$B$7&gt;I103,"Late","Ready"))))</f>
        <v>Not Started</v>
      </c>
      <c r="V103" s="15">
        <v>46664</v>
      </c>
      <c r="W103" s="15">
        <v>46670</v>
      </c>
    </row>
    <row r="104" spans="1:23">
      <c r="A104" t="s">
        <v>581</v>
      </c>
      <c r="B104" t="s">
        <v>33</v>
      </c>
      <c r="C104" t="s">
        <v>34</v>
      </c>
      <c r="D104" t="s">
        <v>582</v>
      </c>
      <c r="E104" t="s">
        <v>583</v>
      </c>
      <c r="F104" t="s">
        <v>584</v>
      </c>
      <c r="G104" t="s">
        <v>573</v>
      </c>
      <c r="H104">
        <v>65</v>
      </c>
      <c r="I104">
        <v>65</v>
      </c>
      <c r="J104">
        <v>1</v>
      </c>
      <c r="K104">
        <v>1</v>
      </c>
      <c r="L104" t="s">
        <v>57</v>
      </c>
      <c r="M104" t="s">
        <v>585</v>
      </c>
      <c r="N104" t="s">
        <v>586</v>
      </c>
      <c r="P104" s="14">
        <f>IF(Control!$B$7&lt;H104,0,IF(Control!$B$7&gt;=I104,1,(Control!$B$7-H104+1)/J104))</f>
        <v>0</v>
      </c>
      <c r="Q104" s="14">
        <v>0</v>
      </c>
      <c r="R104" s="14">
        <f t="shared" si="9"/>
        <v>5.4495912806539499E-3</v>
      </c>
      <c r="S104" s="14">
        <f t="shared" si="10"/>
        <v>0</v>
      </c>
      <c r="T104" s="17">
        <f t="shared" si="11"/>
        <v>0</v>
      </c>
      <c r="U104" t="str">
        <f>IF(Q104&gt;=1,"Complete",IF(Q104&gt;0,"In Progress",IF(Control!$B$7&lt;H104,"Not Started",IF(Control!$B$7&gt;I104,"Late","Ready"))))</f>
        <v>Not Started</v>
      </c>
      <c r="V104" s="15">
        <v>46664</v>
      </c>
      <c r="W104" s="15">
        <v>46670</v>
      </c>
    </row>
    <row r="105" spans="1:23">
      <c r="A105" t="s">
        <v>587</v>
      </c>
      <c r="B105" t="s">
        <v>33</v>
      </c>
      <c r="C105" t="s">
        <v>34</v>
      </c>
      <c r="D105" t="s">
        <v>582</v>
      </c>
      <c r="E105" t="s">
        <v>583</v>
      </c>
      <c r="F105" t="s">
        <v>588</v>
      </c>
      <c r="G105" t="s">
        <v>581</v>
      </c>
      <c r="H105">
        <v>66</v>
      </c>
      <c r="I105">
        <v>66</v>
      </c>
      <c r="J105">
        <v>1</v>
      </c>
      <c r="K105">
        <v>1</v>
      </c>
      <c r="L105" t="s">
        <v>57</v>
      </c>
      <c r="M105" t="s">
        <v>589</v>
      </c>
      <c r="N105" t="s">
        <v>590</v>
      </c>
      <c r="P105" s="14">
        <f>IF(Control!$B$7&lt;H105,0,IF(Control!$B$7&gt;=I105,1,(Control!$B$7-H105+1)/J105))</f>
        <v>0</v>
      </c>
      <c r="Q105" s="14">
        <v>0</v>
      </c>
      <c r="R105" s="14">
        <f t="shared" si="9"/>
        <v>5.4495912806539499E-3</v>
      </c>
      <c r="S105" s="14">
        <f t="shared" si="10"/>
        <v>0</v>
      </c>
      <c r="T105" s="17">
        <f t="shared" si="11"/>
        <v>0</v>
      </c>
      <c r="U105" t="str">
        <f>IF(Q105&gt;=1,"Complete",IF(Q105&gt;0,"In Progress",IF(Control!$B$7&lt;H105,"Not Started",IF(Control!$B$7&gt;I105,"Late","Ready"))))</f>
        <v>Not Started</v>
      </c>
      <c r="V105" s="15">
        <v>46671</v>
      </c>
      <c r="W105" s="15">
        <v>46677</v>
      </c>
    </row>
    <row r="106" spans="1:23">
      <c r="A106" t="s">
        <v>591</v>
      </c>
      <c r="B106" t="s">
        <v>33</v>
      </c>
      <c r="C106" t="s">
        <v>34</v>
      </c>
      <c r="D106" t="s">
        <v>582</v>
      </c>
      <c r="E106" t="s">
        <v>583</v>
      </c>
      <c r="F106" t="s">
        <v>592</v>
      </c>
      <c r="G106" t="s">
        <v>587</v>
      </c>
      <c r="H106">
        <v>67</v>
      </c>
      <c r="I106">
        <v>67</v>
      </c>
      <c r="J106">
        <v>1</v>
      </c>
      <c r="K106">
        <v>1</v>
      </c>
      <c r="L106" t="s">
        <v>57</v>
      </c>
      <c r="M106" t="s">
        <v>593</v>
      </c>
      <c r="N106" t="s">
        <v>594</v>
      </c>
      <c r="P106" s="14">
        <f>IF(Control!$B$7&lt;H106,0,IF(Control!$B$7&gt;=I106,1,(Control!$B$7-H106+1)/J106))</f>
        <v>0</v>
      </c>
      <c r="Q106" s="14">
        <v>0</v>
      </c>
      <c r="R106" s="14">
        <f t="shared" si="9"/>
        <v>5.4495912806539499E-3</v>
      </c>
      <c r="S106" s="14">
        <f t="shared" si="10"/>
        <v>0</v>
      </c>
      <c r="T106" s="17">
        <f t="shared" si="11"/>
        <v>0</v>
      </c>
      <c r="U106" t="str">
        <f>IF(Q106&gt;=1,"Complete",IF(Q106&gt;0,"In Progress",IF(Control!$B$7&lt;H106,"Not Started",IF(Control!$B$7&gt;I106,"Late","Ready"))))</f>
        <v>Not Started</v>
      </c>
      <c r="V106" s="15">
        <v>46678</v>
      </c>
      <c r="W106" s="15">
        <v>46684</v>
      </c>
    </row>
    <row r="107" spans="1:23">
      <c r="A107" t="s">
        <v>595</v>
      </c>
      <c r="B107" t="s">
        <v>33</v>
      </c>
      <c r="C107" t="s">
        <v>34</v>
      </c>
      <c r="D107" t="s">
        <v>596</v>
      </c>
      <c r="E107" t="s">
        <v>597</v>
      </c>
      <c r="F107" t="s">
        <v>598</v>
      </c>
      <c r="G107" t="s">
        <v>591</v>
      </c>
      <c r="H107">
        <v>68</v>
      </c>
      <c r="I107">
        <v>68</v>
      </c>
      <c r="J107">
        <v>1</v>
      </c>
      <c r="K107">
        <v>1</v>
      </c>
      <c r="L107" t="s">
        <v>57</v>
      </c>
      <c r="M107" t="s">
        <v>599</v>
      </c>
      <c r="N107" t="s">
        <v>600</v>
      </c>
      <c r="P107" s="14">
        <f>IF(Control!$B$7&lt;H107,0,IF(Control!$B$7&gt;=I107,1,(Control!$B$7-H107+1)/J107))</f>
        <v>0</v>
      </c>
      <c r="Q107" s="14">
        <v>0</v>
      </c>
      <c r="R107" s="14">
        <f t="shared" si="9"/>
        <v>5.4495912806539499E-3</v>
      </c>
      <c r="S107" s="14">
        <f t="shared" si="10"/>
        <v>0</v>
      </c>
      <c r="T107" s="17">
        <f t="shared" si="11"/>
        <v>0</v>
      </c>
      <c r="U107" t="str">
        <f>IF(Q107&gt;=1,"Complete",IF(Q107&gt;0,"In Progress",IF(Control!$B$7&lt;H107,"Not Started",IF(Control!$B$7&gt;I107,"Late","Ready"))))</f>
        <v>Not Started</v>
      </c>
      <c r="V107" s="15">
        <v>46685</v>
      </c>
      <c r="W107" s="15">
        <v>46691</v>
      </c>
    </row>
    <row r="108" spans="1:23">
      <c r="A108" t="s">
        <v>601</v>
      </c>
      <c r="B108" t="s">
        <v>33</v>
      </c>
      <c r="C108" t="s">
        <v>34</v>
      </c>
      <c r="D108" t="s">
        <v>596</v>
      </c>
      <c r="E108" t="s">
        <v>597</v>
      </c>
      <c r="F108" t="s">
        <v>602</v>
      </c>
      <c r="G108" t="s">
        <v>595</v>
      </c>
      <c r="H108">
        <v>68</v>
      </c>
      <c r="I108">
        <v>68</v>
      </c>
      <c r="J108">
        <v>1</v>
      </c>
      <c r="K108">
        <v>1</v>
      </c>
      <c r="L108" t="s">
        <v>57</v>
      </c>
      <c r="M108" t="s">
        <v>603</v>
      </c>
      <c r="N108" t="s">
        <v>604</v>
      </c>
      <c r="P108" s="14">
        <f>IF(Control!$B$7&lt;H108,0,IF(Control!$B$7&gt;=I108,1,(Control!$B$7-H108+1)/J108))</f>
        <v>0</v>
      </c>
      <c r="Q108" s="14">
        <v>0</v>
      </c>
      <c r="R108" s="14">
        <f t="shared" si="9"/>
        <v>5.4495912806539499E-3</v>
      </c>
      <c r="S108" s="14">
        <f t="shared" si="10"/>
        <v>0</v>
      </c>
      <c r="T108" s="17">
        <f t="shared" si="11"/>
        <v>0</v>
      </c>
      <c r="U108" t="str">
        <f>IF(Q108&gt;=1,"Complete",IF(Q108&gt;0,"In Progress",IF(Control!$B$7&lt;H108,"Not Started",IF(Control!$B$7&gt;I108,"Late","Ready"))))</f>
        <v>Not Started</v>
      </c>
      <c r="V108" s="15">
        <v>46685</v>
      </c>
      <c r="W108" s="15">
        <v>46691</v>
      </c>
    </row>
    <row r="109" spans="1:23">
      <c r="A109" t="s">
        <v>605</v>
      </c>
      <c r="B109" t="s">
        <v>33</v>
      </c>
      <c r="C109" t="s">
        <v>34</v>
      </c>
      <c r="D109" t="s">
        <v>606</v>
      </c>
      <c r="E109" t="s">
        <v>607</v>
      </c>
      <c r="F109" t="s">
        <v>608</v>
      </c>
      <c r="G109" t="s">
        <v>609</v>
      </c>
      <c r="H109">
        <v>69</v>
      </c>
      <c r="I109">
        <v>69</v>
      </c>
      <c r="J109">
        <v>1</v>
      </c>
      <c r="K109">
        <v>1</v>
      </c>
      <c r="L109" t="s">
        <v>57</v>
      </c>
      <c r="M109" t="s">
        <v>610</v>
      </c>
      <c r="N109" t="s">
        <v>611</v>
      </c>
      <c r="P109" s="14">
        <f>IF(Control!$B$7&lt;H109,0,IF(Control!$B$7&gt;=I109,1,(Control!$B$7-H109+1)/J109))</f>
        <v>0</v>
      </c>
      <c r="Q109" s="14">
        <v>0</v>
      </c>
      <c r="R109" s="14">
        <f t="shared" si="9"/>
        <v>5.4495912806539499E-3</v>
      </c>
      <c r="S109" s="14">
        <f t="shared" si="10"/>
        <v>0</v>
      </c>
      <c r="T109" s="17">
        <f t="shared" si="11"/>
        <v>0</v>
      </c>
      <c r="U109" t="str">
        <f>IF(Q109&gt;=1,"Complete",IF(Q109&gt;0,"In Progress",IF(Control!$B$7&lt;H109,"Not Started",IF(Control!$B$7&gt;I109,"Late","Ready"))))</f>
        <v>Not Started</v>
      </c>
      <c r="V109" s="15">
        <v>46692</v>
      </c>
      <c r="W109" s="15">
        <v>46698</v>
      </c>
    </row>
    <row r="110" spans="1:23">
      <c r="A110" t="s">
        <v>612</v>
      </c>
      <c r="B110" t="s">
        <v>33</v>
      </c>
      <c r="C110" t="s">
        <v>34</v>
      </c>
      <c r="D110" t="s">
        <v>606</v>
      </c>
      <c r="E110" t="s">
        <v>607</v>
      </c>
      <c r="F110" t="s">
        <v>613</v>
      </c>
      <c r="G110" t="s">
        <v>605</v>
      </c>
      <c r="H110">
        <v>69</v>
      </c>
      <c r="I110">
        <v>69</v>
      </c>
      <c r="J110">
        <v>1</v>
      </c>
      <c r="K110">
        <v>1</v>
      </c>
      <c r="L110" t="s">
        <v>57</v>
      </c>
      <c r="M110" t="s">
        <v>614</v>
      </c>
      <c r="N110" t="s">
        <v>615</v>
      </c>
      <c r="P110" s="14">
        <f>IF(Control!$B$7&lt;H110,0,IF(Control!$B$7&gt;=I110,1,(Control!$B$7-H110+1)/J110))</f>
        <v>0</v>
      </c>
      <c r="Q110" s="14">
        <v>0</v>
      </c>
      <c r="R110" s="14">
        <f t="shared" si="9"/>
        <v>5.4495912806539499E-3</v>
      </c>
      <c r="S110" s="14">
        <f t="shared" si="10"/>
        <v>0</v>
      </c>
      <c r="T110" s="17">
        <f t="shared" si="11"/>
        <v>0</v>
      </c>
      <c r="U110" t="str">
        <f>IF(Q110&gt;=1,"Complete",IF(Q110&gt;0,"In Progress",IF(Control!$B$7&lt;H110,"Not Started",IF(Control!$B$7&gt;I110,"Late","Ready"))))</f>
        <v>Not Started</v>
      </c>
      <c r="V110" s="15">
        <v>46692</v>
      </c>
      <c r="W110" s="15">
        <v>46698</v>
      </c>
    </row>
    <row r="111" spans="1:23">
      <c r="A111" t="s">
        <v>616</v>
      </c>
      <c r="B111" t="s">
        <v>33</v>
      </c>
      <c r="C111" t="s">
        <v>34</v>
      </c>
      <c r="D111" t="s">
        <v>606</v>
      </c>
      <c r="E111" t="s">
        <v>607</v>
      </c>
      <c r="F111" t="s">
        <v>617</v>
      </c>
      <c r="G111" t="s">
        <v>618</v>
      </c>
      <c r="H111">
        <v>70</v>
      </c>
      <c r="I111">
        <v>70</v>
      </c>
      <c r="J111">
        <v>1</v>
      </c>
      <c r="K111">
        <v>1.5</v>
      </c>
      <c r="L111" t="s">
        <v>57</v>
      </c>
      <c r="M111" t="s">
        <v>619</v>
      </c>
      <c r="N111" t="s">
        <v>620</v>
      </c>
      <c r="O111" t="s">
        <v>35</v>
      </c>
      <c r="P111" s="14">
        <f>IF(Control!$B$7&lt;H111,0,IF(Control!$B$7&gt;=I111,1,(Control!$B$7-H111+1)/J111))</f>
        <v>0</v>
      </c>
      <c r="Q111" s="14">
        <v>0</v>
      </c>
      <c r="R111" s="14">
        <f t="shared" si="9"/>
        <v>8.1743869209809257E-3</v>
      </c>
      <c r="S111" s="14">
        <f t="shared" si="10"/>
        <v>0</v>
      </c>
      <c r="T111" s="17">
        <f t="shared" si="11"/>
        <v>0</v>
      </c>
      <c r="U111" t="str">
        <f>IF(Q111&gt;=1,"Complete",IF(Q111&gt;0,"In Progress",IF(Control!$B$7&lt;H111,"Not Started",IF(Control!$B$7&gt;I111,"Late","Ready"))))</f>
        <v>Not Started</v>
      </c>
      <c r="V111" s="15">
        <v>46699</v>
      </c>
      <c r="W111" s="15">
        <v>46705</v>
      </c>
    </row>
    <row r="112" spans="1:23">
      <c r="A112" t="s">
        <v>621</v>
      </c>
      <c r="B112" t="s">
        <v>36</v>
      </c>
      <c r="C112" t="s">
        <v>37</v>
      </c>
      <c r="D112" t="s">
        <v>622</v>
      </c>
      <c r="E112" t="s">
        <v>623</v>
      </c>
      <c r="F112" t="s">
        <v>624</v>
      </c>
      <c r="G112" t="s">
        <v>616</v>
      </c>
      <c r="H112">
        <v>71</v>
      </c>
      <c r="I112">
        <v>71</v>
      </c>
      <c r="J112">
        <v>1</v>
      </c>
      <c r="K112">
        <v>1</v>
      </c>
      <c r="L112" t="s">
        <v>57</v>
      </c>
      <c r="M112" t="s">
        <v>625</v>
      </c>
      <c r="N112" t="s">
        <v>626</v>
      </c>
      <c r="P112" s="14">
        <f>IF(Control!$B$7&lt;H112,0,IF(Control!$B$7&gt;=I112,1,(Control!$B$7-H112+1)/J112))</f>
        <v>0</v>
      </c>
      <c r="Q112" s="14">
        <v>0</v>
      </c>
      <c r="R112" s="14">
        <f t="shared" si="9"/>
        <v>5.4495912806539499E-3</v>
      </c>
      <c r="S112" s="14">
        <f t="shared" si="10"/>
        <v>0</v>
      </c>
      <c r="T112" s="17">
        <f t="shared" si="11"/>
        <v>0</v>
      </c>
      <c r="U112" t="str">
        <f>IF(Q112&gt;=1,"Complete",IF(Q112&gt;0,"In Progress",IF(Control!$B$7&lt;H112,"Not Started",IF(Control!$B$7&gt;I112,"Late","Ready"))))</f>
        <v>Not Started</v>
      </c>
      <c r="V112" s="15">
        <v>46706</v>
      </c>
      <c r="W112" s="15">
        <v>46712</v>
      </c>
    </row>
    <row r="113" spans="1:23">
      <c r="A113" t="s">
        <v>627</v>
      </c>
      <c r="B113" t="s">
        <v>36</v>
      </c>
      <c r="C113" t="s">
        <v>37</v>
      </c>
      <c r="D113" t="s">
        <v>622</v>
      </c>
      <c r="E113" t="s">
        <v>623</v>
      </c>
      <c r="F113" t="s">
        <v>628</v>
      </c>
      <c r="G113" t="s">
        <v>621</v>
      </c>
      <c r="H113">
        <v>72</v>
      </c>
      <c r="I113">
        <v>72</v>
      </c>
      <c r="J113">
        <v>1</v>
      </c>
      <c r="K113">
        <v>1</v>
      </c>
      <c r="L113" t="s">
        <v>57</v>
      </c>
      <c r="M113" t="s">
        <v>629</v>
      </c>
      <c r="N113" t="s">
        <v>630</v>
      </c>
      <c r="P113" s="14">
        <f>IF(Control!$B$7&lt;H113,0,IF(Control!$B$7&gt;=I113,1,(Control!$B$7-H113+1)/J113))</f>
        <v>0</v>
      </c>
      <c r="Q113" s="14">
        <v>0</v>
      </c>
      <c r="R113" s="14">
        <f t="shared" si="9"/>
        <v>5.4495912806539499E-3</v>
      </c>
      <c r="S113" s="14">
        <f t="shared" si="10"/>
        <v>0</v>
      </c>
      <c r="T113" s="17">
        <f t="shared" si="11"/>
        <v>0</v>
      </c>
      <c r="U113" t="str">
        <f>IF(Q113&gt;=1,"Complete",IF(Q113&gt;0,"In Progress",IF(Control!$B$7&lt;H113,"Not Started",IF(Control!$B$7&gt;I113,"Late","Ready"))))</f>
        <v>Not Started</v>
      </c>
      <c r="V113" s="15">
        <v>46713</v>
      </c>
      <c r="W113" s="15">
        <v>46719</v>
      </c>
    </row>
    <row r="114" spans="1:23">
      <c r="A114" t="s">
        <v>631</v>
      </c>
      <c r="B114" t="s">
        <v>36</v>
      </c>
      <c r="C114" t="s">
        <v>37</v>
      </c>
      <c r="D114" t="s">
        <v>622</v>
      </c>
      <c r="E114" t="s">
        <v>623</v>
      </c>
      <c r="F114" t="s">
        <v>632</v>
      </c>
      <c r="G114" t="s">
        <v>627</v>
      </c>
      <c r="H114">
        <v>73</v>
      </c>
      <c r="I114">
        <v>73</v>
      </c>
      <c r="J114">
        <v>1</v>
      </c>
      <c r="K114">
        <v>1</v>
      </c>
      <c r="L114" t="s">
        <v>57</v>
      </c>
      <c r="M114" t="s">
        <v>633</v>
      </c>
      <c r="N114" t="s">
        <v>634</v>
      </c>
      <c r="P114" s="14">
        <f>IF(Control!$B$7&lt;H114,0,IF(Control!$B$7&gt;=I114,1,(Control!$B$7-H114+1)/J114))</f>
        <v>0</v>
      </c>
      <c r="Q114" s="14">
        <v>0</v>
      </c>
      <c r="R114" s="14">
        <f t="shared" si="9"/>
        <v>5.4495912806539499E-3</v>
      </c>
      <c r="S114" s="14">
        <f t="shared" si="10"/>
        <v>0</v>
      </c>
      <c r="T114" s="17">
        <f t="shared" si="11"/>
        <v>0</v>
      </c>
      <c r="U114" t="str">
        <f>IF(Q114&gt;=1,"Complete",IF(Q114&gt;0,"In Progress",IF(Control!$B$7&lt;H114,"Not Started",IF(Control!$B$7&gt;I114,"Late","Ready"))))</f>
        <v>Not Started</v>
      </c>
      <c r="V114" s="15">
        <v>46720</v>
      </c>
      <c r="W114" s="15">
        <v>46726</v>
      </c>
    </row>
    <row r="115" spans="1:23">
      <c r="A115" t="s">
        <v>635</v>
      </c>
      <c r="B115" t="s">
        <v>36</v>
      </c>
      <c r="C115" t="s">
        <v>37</v>
      </c>
      <c r="D115" t="s">
        <v>636</v>
      </c>
      <c r="E115" t="s">
        <v>637</v>
      </c>
      <c r="F115" t="s">
        <v>638</v>
      </c>
      <c r="G115" t="s">
        <v>639</v>
      </c>
      <c r="H115">
        <v>73</v>
      </c>
      <c r="I115">
        <v>73</v>
      </c>
      <c r="J115">
        <v>1</v>
      </c>
      <c r="K115">
        <v>1</v>
      </c>
      <c r="L115" t="s">
        <v>57</v>
      </c>
      <c r="M115" t="s">
        <v>640</v>
      </c>
      <c r="N115" t="s">
        <v>641</v>
      </c>
      <c r="P115" s="14">
        <f>IF(Control!$B$7&lt;H115,0,IF(Control!$B$7&gt;=I115,1,(Control!$B$7-H115+1)/J115))</f>
        <v>0</v>
      </c>
      <c r="Q115" s="14">
        <v>0</v>
      </c>
      <c r="R115" s="14">
        <f t="shared" si="9"/>
        <v>5.4495912806539499E-3</v>
      </c>
      <c r="S115" s="14">
        <f t="shared" si="10"/>
        <v>0</v>
      </c>
      <c r="T115" s="17">
        <f t="shared" si="11"/>
        <v>0</v>
      </c>
      <c r="U115" t="str">
        <f>IF(Q115&gt;=1,"Complete",IF(Q115&gt;0,"In Progress",IF(Control!$B$7&lt;H115,"Not Started",IF(Control!$B$7&gt;I115,"Late","Ready"))))</f>
        <v>Not Started</v>
      </c>
      <c r="V115" s="15">
        <v>46720</v>
      </c>
      <c r="W115" s="15">
        <v>46726</v>
      </c>
    </row>
    <row r="116" spans="1:23">
      <c r="A116" t="s">
        <v>642</v>
      </c>
      <c r="B116" t="s">
        <v>36</v>
      </c>
      <c r="C116" t="s">
        <v>37</v>
      </c>
      <c r="D116" t="s">
        <v>636</v>
      </c>
      <c r="E116" t="s">
        <v>637</v>
      </c>
      <c r="F116" t="s">
        <v>643</v>
      </c>
      <c r="G116" t="s">
        <v>635</v>
      </c>
      <c r="H116">
        <v>74</v>
      </c>
      <c r="I116">
        <v>74</v>
      </c>
      <c r="J116">
        <v>1</v>
      </c>
      <c r="K116">
        <v>1</v>
      </c>
      <c r="L116" t="s">
        <v>57</v>
      </c>
      <c r="M116" t="s">
        <v>644</v>
      </c>
      <c r="N116" t="s">
        <v>645</v>
      </c>
      <c r="P116" s="14">
        <f>IF(Control!$B$7&lt;H116,0,IF(Control!$B$7&gt;=I116,1,(Control!$B$7-H116+1)/J116))</f>
        <v>0</v>
      </c>
      <c r="Q116" s="14">
        <v>0</v>
      </c>
      <c r="R116" s="14">
        <f t="shared" si="9"/>
        <v>5.4495912806539499E-3</v>
      </c>
      <c r="S116" s="14">
        <f t="shared" si="10"/>
        <v>0</v>
      </c>
      <c r="T116" s="17">
        <f t="shared" si="11"/>
        <v>0</v>
      </c>
      <c r="U116" t="str">
        <f>IF(Q116&gt;=1,"Complete",IF(Q116&gt;0,"In Progress",IF(Control!$B$7&lt;H116,"Not Started",IF(Control!$B$7&gt;I116,"Late","Ready"))))</f>
        <v>Not Started</v>
      </c>
      <c r="V116" s="15">
        <v>46727</v>
      </c>
      <c r="W116" s="15">
        <v>46733</v>
      </c>
    </row>
    <row r="117" spans="1:23">
      <c r="A117" t="s">
        <v>646</v>
      </c>
      <c r="B117" t="s">
        <v>36</v>
      </c>
      <c r="C117" t="s">
        <v>37</v>
      </c>
      <c r="D117" t="s">
        <v>636</v>
      </c>
      <c r="E117" t="s">
        <v>637</v>
      </c>
      <c r="F117" t="s">
        <v>647</v>
      </c>
      <c r="G117" t="s">
        <v>642</v>
      </c>
      <c r="H117">
        <v>74</v>
      </c>
      <c r="I117">
        <v>74</v>
      </c>
      <c r="J117">
        <v>1</v>
      </c>
      <c r="K117">
        <v>1</v>
      </c>
      <c r="L117" t="s">
        <v>57</v>
      </c>
      <c r="M117" t="s">
        <v>648</v>
      </c>
      <c r="N117" t="s">
        <v>649</v>
      </c>
      <c r="P117" s="14">
        <f>IF(Control!$B$7&lt;H117,0,IF(Control!$B$7&gt;=I117,1,(Control!$B$7-H117+1)/J117))</f>
        <v>0</v>
      </c>
      <c r="Q117" s="14">
        <v>0</v>
      </c>
      <c r="R117" s="14">
        <f t="shared" si="9"/>
        <v>5.4495912806539499E-3</v>
      </c>
      <c r="S117" s="14">
        <f t="shared" si="10"/>
        <v>0</v>
      </c>
      <c r="T117" s="17">
        <f t="shared" si="11"/>
        <v>0</v>
      </c>
      <c r="U117" t="str">
        <f>IF(Q117&gt;=1,"Complete",IF(Q117&gt;0,"In Progress",IF(Control!$B$7&lt;H117,"Not Started",IF(Control!$B$7&gt;I117,"Late","Ready"))))</f>
        <v>Not Started</v>
      </c>
      <c r="V117" s="15">
        <v>46727</v>
      </c>
      <c r="W117" s="15">
        <v>46733</v>
      </c>
    </row>
    <row r="118" spans="1:23">
      <c r="A118" t="s">
        <v>650</v>
      </c>
      <c r="B118" t="s">
        <v>36</v>
      </c>
      <c r="C118" t="s">
        <v>37</v>
      </c>
      <c r="D118" t="s">
        <v>651</v>
      </c>
      <c r="E118" t="s">
        <v>652</v>
      </c>
      <c r="F118" t="s">
        <v>653</v>
      </c>
      <c r="G118" t="s">
        <v>646</v>
      </c>
      <c r="H118">
        <v>75</v>
      </c>
      <c r="I118">
        <v>75</v>
      </c>
      <c r="J118">
        <v>1</v>
      </c>
      <c r="K118">
        <v>1</v>
      </c>
      <c r="L118" t="s">
        <v>57</v>
      </c>
      <c r="M118" t="s">
        <v>654</v>
      </c>
      <c r="N118" t="s">
        <v>655</v>
      </c>
      <c r="P118" s="14">
        <f>IF(Control!$B$7&lt;H118,0,IF(Control!$B$7&gt;=I118,1,(Control!$B$7-H118+1)/J118))</f>
        <v>0</v>
      </c>
      <c r="Q118" s="14">
        <v>0</v>
      </c>
      <c r="R118" s="14">
        <f t="shared" si="9"/>
        <v>5.4495912806539499E-3</v>
      </c>
      <c r="S118" s="14">
        <f t="shared" si="10"/>
        <v>0</v>
      </c>
      <c r="T118" s="17">
        <f t="shared" si="11"/>
        <v>0</v>
      </c>
      <c r="U118" t="str">
        <f>IF(Q118&gt;=1,"Complete",IF(Q118&gt;0,"In Progress",IF(Control!$B$7&lt;H118,"Not Started",IF(Control!$B$7&gt;I118,"Late","Ready"))))</f>
        <v>Not Started</v>
      </c>
      <c r="V118" s="15">
        <v>46734</v>
      </c>
      <c r="W118" s="15">
        <v>46740</v>
      </c>
    </row>
    <row r="119" spans="1:23">
      <c r="A119" t="s">
        <v>656</v>
      </c>
      <c r="B119" t="s">
        <v>36</v>
      </c>
      <c r="C119" t="s">
        <v>37</v>
      </c>
      <c r="D119" t="s">
        <v>651</v>
      </c>
      <c r="E119" t="s">
        <v>652</v>
      </c>
      <c r="F119" t="s">
        <v>657</v>
      </c>
      <c r="G119" t="s">
        <v>650</v>
      </c>
      <c r="H119">
        <v>75</v>
      </c>
      <c r="I119">
        <v>75</v>
      </c>
      <c r="J119">
        <v>1</v>
      </c>
      <c r="K119">
        <v>1</v>
      </c>
      <c r="L119" t="s">
        <v>57</v>
      </c>
      <c r="M119" t="s">
        <v>658</v>
      </c>
      <c r="N119" t="s">
        <v>659</v>
      </c>
      <c r="P119" s="14">
        <f>IF(Control!$B$7&lt;H119,0,IF(Control!$B$7&gt;=I119,1,(Control!$B$7-H119+1)/J119))</f>
        <v>0</v>
      </c>
      <c r="Q119" s="14">
        <v>0</v>
      </c>
      <c r="R119" s="14">
        <f t="shared" si="9"/>
        <v>5.4495912806539499E-3</v>
      </c>
      <c r="S119" s="14">
        <f t="shared" si="10"/>
        <v>0</v>
      </c>
      <c r="T119" s="17">
        <f t="shared" si="11"/>
        <v>0</v>
      </c>
      <c r="U119" t="str">
        <f>IF(Q119&gt;=1,"Complete",IF(Q119&gt;0,"In Progress",IF(Control!$B$7&lt;H119,"Not Started",IF(Control!$B$7&gt;I119,"Late","Ready"))))</f>
        <v>Not Started</v>
      </c>
      <c r="V119" s="15">
        <v>46734</v>
      </c>
      <c r="W119" s="15">
        <v>46740</v>
      </c>
    </row>
    <row r="120" spans="1:23">
      <c r="A120" t="s">
        <v>660</v>
      </c>
      <c r="B120" t="s">
        <v>36</v>
      </c>
      <c r="C120" t="s">
        <v>37</v>
      </c>
      <c r="D120" t="s">
        <v>661</v>
      </c>
      <c r="E120" t="s">
        <v>662</v>
      </c>
      <c r="F120" t="s">
        <v>663</v>
      </c>
      <c r="G120" t="s">
        <v>656</v>
      </c>
      <c r="H120">
        <v>76</v>
      </c>
      <c r="I120">
        <v>76</v>
      </c>
      <c r="J120">
        <v>1</v>
      </c>
      <c r="K120">
        <v>1</v>
      </c>
      <c r="L120" t="s">
        <v>57</v>
      </c>
      <c r="M120" t="s">
        <v>664</v>
      </c>
      <c r="N120" t="s">
        <v>665</v>
      </c>
      <c r="P120" s="14">
        <f>IF(Control!$B$7&lt;H120,0,IF(Control!$B$7&gt;=I120,1,(Control!$B$7-H120+1)/J120))</f>
        <v>0</v>
      </c>
      <c r="Q120" s="14">
        <v>0</v>
      </c>
      <c r="R120" s="14">
        <f t="shared" si="9"/>
        <v>5.4495912806539499E-3</v>
      </c>
      <c r="S120" s="14">
        <f t="shared" si="10"/>
        <v>0</v>
      </c>
      <c r="T120" s="17">
        <f t="shared" si="11"/>
        <v>0</v>
      </c>
      <c r="U120" t="str">
        <f>IF(Q120&gt;=1,"Complete",IF(Q120&gt;0,"In Progress",IF(Control!$B$7&lt;H120,"Not Started",IF(Control!$B$7&gt;I120,"Late","Ready"))))</f>
        <v>Not Started</v>
      </c>
      <c r="V120" s="15">
        <v>46741</v>
      </c>
      <c r="W120" s="15">
        <v>46747</v>
      </c>
    </row>
    <row r="121" spans="1:23">
      <c r="A121" t="s">
        <v>666</v>
      </c>
      <c r="B121" t="s">
        <v>36</v>
      </c>
      <c r="C121" t="s">
        <v>37</v>
      </c>
      <c r="D121" t="s">
        <v>661</v>
      </c>
      <c r="E121" t="s">
        <v>662</v>
      </c>
      <c r="F121" t="s">
        <v>667</v>
      </c>
      <c r="G121" t="s">
        <v>660</v>
      </c>
      <c r="H121">
        <v>77</v>
      </c>
      <c r="I121">
        <v>77</v>
      </c>
      <c r="J121">
        <v>1</v>
      </c>
      <c r="K121">
        <v>1</v>
      </c>
      <c r="L121" t="s">
        <v>57</v>
      </c>
      <c r="M121" t="s">
        <v>668</v>
      </c>
      <c r="N121" t="s">
        <v>669</v>
      </c>
      <c r="P121" s="14">
        <f>IF(Control!$B$7&lt;H121,0,IF(Control!$B$7&gt;=I121,1,(Control!$B$7-H121+1)/J121))</f>
        <v>0</v>
      </c>
      <c r="Q121" s="14">
        <v>0</v>
      </c>
      <c r="R121" s="14">
        <f t="shared" si="9"/>
        <v>5.4495912806539499E-3</v>
      </c>
      <c r="S121" s="14">
        <f t="shared" si="10"/>
        <v>0</v>
      </c>
      <c r="T121" s="17">
        <f t="shared" si="11"/>
        <v>0</v>
      </c>
      <c r="U121" t="str">
        <f>IF(Q121&gt;=1,"Complete",IF(Q121&gt;0,"In Progress",IF(Control!$B$7&lt;H121,"Not Started",IF(Control!$B$7&gt;I121,"Late","Ready"))))</f>
        <v>Not Started</v>
      </c>
      <c r="V121" s="15">
        <v>46748</v>
      </c>
      <c r="W121" s="15">
        <v>46754</v>
      </c>
    </row>
    <row r="122" spans="1:23">
      <c r="A122" t="s">
        <v>670</v>
      </c>
      <c r="B122" t="s">
        <v>36</v>
      </c>
      <c r="C122" t="s">
        <v>37</v>
      </c>
      <c r="D122" t="s">
        <v>661</v>
      </c>
      <c r="E122" t="s">
        <v>662</v>
      </c>
      <c r="F122" t="s">
        <v>671</v>
      </c>
      <c r="G122" t="s">
        <v>666</v>
      </c>
      <c r="H122">
        <v>78</v>
      </c>
      <c r="I122">
        <v>78</v>
      </c>
      <c r="J122">
        <v>1</v>
      </c>
      <c r="K122">
        <v>1.5</v>
      </c>
      <c r="L122" t="s">
        <v>57</v>
      </c>
      <c r="M122" t="s">
        <v>672</v>
      </c>
      <c r="N122" t="s">
        <v>673</v>
      </c>
      <c r="O122" t="s">
        <v>38</v>
      </c>
      <c r="P122" s="14">
        <f>IF(Control!$B$7&lt;H122,0,IF(Control!$B$7&gt;=I122,1,(Control!$B$7-H122+1)/J122))</f>
        <v>0</v>
      </c>
      <c r="Q122" s="14">
        <v>0</v>
      </c>
      <c r="R122" s="14">
        <f t="shared" si="9"/>
        <v>8.1743869209809257E-3</v>
      </c>
      <c r="S122" s="14">
        <f t="shared" si="10"/>
        <v>0</v>
      </c>
      <c r="T122" s="17">
        <f t="shared" si="11"/>
        <v>0</v>
      </c>
      <c r="U122" t="str">
        <f>IF(Q122&gt;=1,"Complete",IF(Q122&gt;0,"In Progress",IF(Control!$B$7&lt;H122,"Not Started",IF(Control!$B$7&gt;I122,"Late","Ready"))))</f>
        <v>Not Started</v>
      </c>
      <c r="V122" s="15">
        <v>46755</v>
      </c>
      <c r="W122" s="15">
        <v>46761</v>
      </c>
    </row>
    <row r="123" spans="1:23">
      <c r="A123" t="s">
        <v>674</v>
      </c>
      <c r="B123" t="s">
        <v>36</v>
      </c>
      <c r="C123" t="s">
        <v>37</v>
      </c>
      <c r="D123" t="s">
        <v>661</v>
      </c>
      <c r="E123" t="s">
        <v>662</v>
      </c>
      <c r="F123" t="s">
        <v>675</v>
      </c>
      <c r="G123" t="s">
        <v>670</v>
      </c>
      <c r="H123">
        <v>78</v>
      </c>
      <c r="I123">
        <v>78</v>
      </c>
      <c r="J123">
        <v>1</v>
      </c>
      <c r="K123">
        <v>1.5</v>
      </c>
      <c r="L123" t="s">
        <v>57</v>
      </c>
      <c r="M123" t="s">
        <v>676</v>
      </c>
      <c r="N123" t="s">
        <v>677</v>
      </c>
      <c r="O123" t="s">
        <v>38</v>
      </c>
      <c r="P123" s="14">
        <f>IF(Control!$B$7&lt;H123,0,IF(Control!$B$7&gt;=I123,1,(Control!$B$7-H123+1)/J123))</f>
        <v>0</v>
      </c>
      <c r="Q123" s="14">
        <v>0</v>
      </c>
      <c r="R123" s="14">
        <f t="shared" si="9"/>
        <v>8.1743869209809257E-3</v>
      </c>
      <c r="S123" s="14">
        <f t="shared" si="10"/>
        <v>0</v>
      </c>
      <c r="T123" s="17">
        <f t="shared" si="11"/>
        <v>0</v>
      </c>
      <c r="U123" t="str">
        <f>IF(Q123&gt;=1,"Complete",IF(Q123&gt;0,"In Progress",IF(Control!$B$7&lt;H123,"Not Started",IF(Control!$B$7&gt;I123,"Late","Ready"))))</f>
        <v>Not Started</v>
      </c>
      <c r="V123" s="15">
        <v>46755</v>
      </c>
      <c r="W123" s="15">
        <v>46761</v>
      </c>
    </row>
    <row r="124" spans="1:23">
      <c r="A124" t="s">
        <v>678</v>
      </c>
      <c r="B124" t="s">
        <v>39</v>
      </c>
      <c r="C124" t="s">
        <v>40</v>
      </c>
      <c r="D124" t="s">
        <v>679</v>
      </c>
      <c r="E124" t="s">
        <v>680</v>
      </c>
      <c r="F124" t="s">
        <v>681</v>
      </c>
      <c r="G124" t="s">
        <v>674</v>
      </c>
      <c r="H124">
        <v>79</v>
      </c>
      <c r="I124">
        <v>79</v>
      </c>
      <c r="J124">
        <v>1</v>
      </c>
      <c r="K124">
        <v>1</v>
      </c>
      <c r="L124" t="s">
        <v>57</v>
      </c>
      <c r="M124" t="s">
        <v>682</v>
      </c>
      <c r="N124" t="s">
        <v>683</v>
      </c>
      <c r="P124" s="14">
        <f>IF(Control!$B$7&lt;H124,0,IF(Control!$B$7&gt;=I124,1,(Control!$B$7-H124+1)/J124))</f>
        <v>0</v>
      </c>
      <c r="Q124" s="14">
        <v>0</v>
      </c>
      <c r="R124" s="14">
        <f t="shared" si="9"/>
        <v>5.4495912806539499E-3</v>
      </c>
      <c r="S124" s="14">
        <f t="shared" si="10"/>
        <v>0</v>
      </c>
      <c r="T124" s="17">
        <f t="shared" si="11"/>
        <v>0</v>
      </c>
      <c r="U124" t="str">
        <f>IF(Q124&gt;=1,"Complete",IF(Q124&gt;0,"In Progress",IF(Control!$B$7&lt;H124,"Not Started",IF(Control!$B$7&gt;I124,"Late","Ready"))))</f>
        <v>Not Started</v>
      </c>
      <c r="V124" s="15">
        <v>46762</v>
      </c>
      <c r="W124" s="15">
        <v>46768</v>
      </c>
    </row>
    <row r="125" spans="1:23">
      <c r="A125" t="s">
        <v>684</v>
      </c>
      <c r="B125" t="s">
        <v>39</v>
      </c>
      <c r="C125" t="s">
        <v>40</v>
      </c>
      <c r="D125" t="s">
        <v>679</v>
      </c>
      <c r="E125" t="s">
        <v>680</v>
      </c>
      <c r="F125" t="s">
        <v>685</v>
      </c>
      <c r="G125" t="s">
        <v>678</v>
      </c>
      <c r="H125">
        <v>80</v>
      </c>
      <c r="I125">
        <v>80</v>
      </c>
      <c r="J125">
        <v>1</v>
      </c>
      <c r="K125">
        <v>1</v>
      </c>
      <c r="L125" t="s">
        <v>57</v>
      </c>
      <c r="M125" t="s">
        <v>686</v>
      </c>
      <c r="N125" t="s">
        <v>687</v>
      </c>
      <c r="P125" s="14">
        <f>IF(Control!$B$7&lt;H125,0,IF(Control!$B$7&gt;=I125,1,(Control!$B$7-H125+1)/J125))</f>
        <v>0</v>
      </c>
      <c r="Q125" s="14">
        <v>0</v>
      </c>
      <c r="R125" s="14">
        <f t="shared" si="9"/>
        <v>5.4495912806539499E-3</v>
      </c>
      <c r="S125" s="14">
        <f t="shared" si="10"/>
        <v>0</v>
      </c>
      <c r="T125" s="17">
        <f t="shared" si="11"/>
        <v>0</v>
      </c>
      <c r="U125" t="str">
        <f>IF(Q125&gt;=1,"Complete",IF(Q125&gt;0,"In Progress",IF(Control!$B$7&lt;H125,"Not Started",IF(Control!$B$7&gt;I125,"Late","Ready"))))</f>
        <v>Not Started</v>
      </c>
      <c r="V125" s="15">
        <v>46769</v>
      </c>
      <c r="W125" s="15">
        <v>46775</v>
      </c>
    </row>
    <row r="126" spans="1:23">
      <c r="A126" t="s">
        <v>688</v>
      </c>
      <c r="B126" t="s">
        <v>39</v>
      </c>
      <c r="C126" t="s">
        <v>40</v>
      </c>
      <c r="D126" t="s">
        <v>689</v>
      </c>
      <c r="E126" t="s">
        <v>690</v>
      </c>
      <c r="F126" t="s">
        <v>691</v>
      </c>
      <c r="G126" t="s">
        <v>674</v>
      </c>
      <c r="H126">
        <v>79</v>
      </c>
      <c r="I126">
        <v>79</v>
      </c>
      <c r="J126">
        <v>1</v>
      </c>
      <c r="K126">
        <v>1</v>
      </c>
      <c r="L126" t="s">
        <v>57</v>
      </c>
      <c r="M126" t="s">
        <v>692</v>
      </c>
      <c r="N126" t="s">
        <v>693</v>
      </c>
      <c r="P126" s="14">
        <f>IF(Control!$B$7&lt;H126,0,IF(Control!$B$7&gt;=I126,1,(Control!$B$7-H126+1)/J126))</f>
        <v>0</v>
      </c>
      <c r="Q126" s="14">
        <v>0</v>
      </c>
      <c r="R126" s="14">
        <f t="shared" si="9"/>
        <v>5.4495912806539499E-3</v>
      </c>
      <c r="S126" s="14">
        <f t="shared" si="10"/>
        <v>0</v>
      </c>
      <c r="T126" s="17">
        <f t="shared" si="11"/>
        <v>0</v>
      </c>
      <c r="U126" t="str">
        <f>IF(Q126&gt;=1,"Complete",IF(Q126&gt;0,"In Progress",IF(Control!$B$7&lt;H126,"Not Started",IF(Control!$B$7&gt;I126,"Late","Ready"))))</f>
        <v>Not Started</v>
      </c>
      <c r="V126" s="15">
        <v>46762</v>
      </c>
      <c r="W126" s="15">
        <v>46768</v>
      </c>
    </row>
    <row r="127" spans="1:23">
      <c r="A127" t="s">
        <v>694</v>
      </c>
      <c r="B127" t="s">
        <v>39</v>
      </c>
      <c r="C127" t="s">
        <v>40</v>
      </c>
      <c r="D127" t="s">
        <v>689</v>
      </c>
      <c r="E127" t="s">
        <v>690</v>
      </c>
      <c r="F127" t="s">
        <v>695</v>
      </c>
      <c r="G127" t="s">
        <v>688</v>
      </c>
      <c r="H127">
        <v>80</v>
      </c>
      <c r="I127">
        <v>81</v>
      </c>
      <c r="J127">
        <v>2</v>
      </c>
      <c r="K127">
        <v>2</v>
      </c>
      <c r="L127" t="s">
        <v>57</v>
      </c>
      <c r="M127" t="s">
        <v>696</v>
      </c>
      <c r="N127" t="s">
        <v>697</v>
      </c>
      <c r="P127" s="14">
        <f>IF(Control!$B$7&lt;H127,0,IF(Control!$B$7&gt;=I127,1,(Control!$B$7-H127+1)/J127))</f>
        <v>0</v>
      </c>
      <c r="Q127" s="14">
        <v>0</v>
      </c>
      <c r="R127" s="14">
        <f t="shared" si="9"/>
        <v>1.08991825613079E-2</v>
      </c>
      <c r="S127" s="14">
        <f t="shared" si="10"/>
        <v>0</v>
      </c>
      <c r="T127" s="17">
        <f t="shared" si="11"/>
        <v>0</v>
      </c>
      <c r="U127" t="str">
        <f>IF(Q127&gt;=1,"Complete",IF(Q127&gt;0,"In Progress",IF(Control!$B$7&lt;H127,"Not Started",IF(Control!$B$7&gt;I127,"Late","Ready"))))</f>
        <v>Not Started</v>
      </c>
      <c r="V127" s="15">
        <v>46769</v>
      </c>
      <c r="W127" s="15">
        <v>46782</v>
      </c>
    </row>
    <row r="128" spans="1:23">
      <c r="A128" t="s">
        <v>698</v>
      </c>
      <c r="B128" t="s">
        <v>39</v>
      </c>
      <c r="C128" t="s">
        <v>40</v>
      </c>
      <c r="D128" t="s">
        <v>689</v>
      </c>
      <c r="E128" t="s">
        <v>690</v>
      </c>
      <c r="F128" t="s">
        <v>699</v>
      </c>
      <c r="G128" t="s">
        <v>694</v>
      </c>
      <c r="H128">
        <v>82</v>
      </c>
      <c r="I128">
        <v>90</v>
      </c>
      <c r="J128">
        <v>9</v>
      </c>
      <c r="K128">
        <v>6.3</v>
      </c>
      <c r="L128" t="s">
        <v>57</v>
      </c>
      <c r="M128" t="s">
        <v>700</v>
      </c>
      <c r="N128" t="s">
        <v>701</v>
      </c>
      <c r="P128" s="14">
        <f>IF(Control!$B$7&lt;H128,0,IF(Control!$B$7&gt;=I128,1,(Control!$B$7-H128+1)/J128))</f>
        <v>0</v>
      </c>
      <c r="Q128" s="14">
        <v>0</v>
      </c>
      <c r="R128" s="14">
        <f t="shared" si="9"/>
        <v>3.4332425068119884E-2</v>
      </c>
      <c r="S128" s="14">
        <f t="shared" si="10"/>
        <v>0</v>
      </c>
      <c r="T128" s="17">
        <f t="shared" si="11"/>
        <v>0</v>
      </c>
      <c r="U128" t="str">
        <f>IF(Q128&gt;=1,"Complete",IF(Q128&gt;0,"In Progress",IF(Control!$B$7&lt;H128,"Not Started",IF(Control!$B$7&gt;I128,"Late","Ready"))))</f>
        <v>Not Started</v>
      </c>
      <c r="V128" s="15">
        <v>46783</v>
      </c>
      <c r="W128" s="15">
        <v>46845</v>
      </c>
    </row>
    <row r="129" spans="1:23">
      <c r="A129" t="s">
        <v>702</v>
      </c>
      <c r="B129" t="s">
        <v>39</v>
      </c>
      <c r="C129" t="s">
        <v>40</v>
      </c>
      <c r="D129" t="s">
        <v>703</v>
      </c>
      <c r="E129" t="s">
        <v>704</v>
      </c>
      <c r="F129" t="s">
        <v>705</v>
      </c>
      <c r="G129" t="s">
        <v>706</v>
      </c>
      <c r="H129">
        <v>79</v>
      </c>
      <c r="I129">
        <v>79</v>
      </c>
      <c r="J129">
        <v>1</v>
      </c>
      <c r="K129">
        <v>1</v>
      </c>
      <c r="L129" t="s">
        <v>57</v>
      </c>
      <c r="M129" t="s">
        <v>707</v>
      </c>
      <c r="N129" t="s">
        <v>708</v>
      </c>
      <c r="P129" s="14">
        <f>IF(Control!$B$7&lt;H129,0,IF(Control!$B$7&gt;=I129,1,(Control!$B$7-H129+1)/J129))</f>
        <v>0</v>
      </c>
      <c r="Q129" s="14">
        <v>0</v>
      </c>
      <c r="R129" s="14">
        <f t="shared" si="9"/>
        <v>5.4495912806539499E-3</v>
      </c>
      <c r="S129" s="14">
        <f t="shared" si="10"/>
        <v>0</v>
      </c>
      <c r="T129" s="17">
        <f t="shared" si="11"/>
        <v>0</v>
      </c>
      <c r="U129" t="str">
        <f>IF(Q129&gt;=1,"Complete",IF(Q129&gt;0,"In Progress",IF(Control!$B$7&lt;H129,"Not Started",IF(Control!$B$7&gt;I129,"Late","Ready"))))</f>
        <v>Not Started</v>
      </c>
      <c r="V129" s="15">
        <v>46762</v>
      </c>
      <c r="W129" s="15">
        <v>46768</v>
      </c>
    </row>
    <row r="130" spans="1:23">
      <c r="A130" t="s">
        <v>709</v>
      </c>
      <c r="B130" t="s">
        <v>39</v>
      </c>
      <c r="C130" t="s">
        <v>40</v>
      </c>
      <c r="D130" t="s">
        <v>703</v>
      </c>
      <c r="E130" t="s">
        <v>704</v>
      </c>
      <c r="F130" t="s">
        <v>710</v>
      </c>
      <c r="G130" t="s">
        <v>702</v>
      </c>
      <c r="H130">
        <v>80</v>
      </c>
      <c r="I130">
        <v>81</v>
      </c>
      <c r="J130">
        <v>2</v>
      </c>
      <c r="K130">
        <v>2</v>
      </c>
      <c r="L130" t="s">
        <v>57</v>
      </c>
      <c r="M130" t="s">
        <v>711</v>
      </c>
      <c r="N130" t="s">
        <v>712</v>
      </c>
      <c r="P130" s="14">
        <f>IF(Control!$B$7&lt;H130,0,IF(Control!$B$7&gt;=I130,1,(Control!$B$7-H130+1)/J130))</f>
        <v>0</v>
      </c>
      <c r="Q130" s="14">
        <v>0</v>
      </c>
      <c r="R130" s="14">
        <f t="shared" si="9"/>
        <v>1.08991825613079E-2</v>
      </c>
      <c r="S130" s="14">
        <f t="shared" si="10"/>
        <v>0</v>
      </c>
      <c r="T130" s="17">
        <f t="shared" si="11"/>
        <v>0</v>
      </c>
      <c r="U130" t="str">
        <f>IF(Q130&gt;=1,"Complete",IF(Q130&gt;0,"In Progress",IF(Control!$B$7&lt;H130,"Not Started",IF(Control!$B$7&gt;I130,"Late","Ready"))))</f>
        <v>Not Started</v>
      </c>
      <c r="V130" s="15">
        <v>46769</v>
      </c>
      <c r="W130" s="15">
        <v>46782</v>
      </c>
    </row>
    <row r="131" spans="1:23">
      <c r="A131" t="s">
        <v>713</v>
      </c>
      <c r="B131" t="s">
        <v>39</v>
      </c>
      <c r="C131" t="s">
        <v>40</v>
      </c>
      <c r="D131" t="s">
        <v>703</v>
      </c>
      <c r="E131" t="s">
        <v>704</v>
      </c>
      <c r="F131" t="s">
        <v>714</v>
      </c>
      <c r="G131" t="s">
        <v>709</v>
      </c>
      <c r="H131">
        <v>82</v>
      </c>
      <c r="I131">
        <v>84</v>
      </c>
      <c r="J131">
        <v>3</v>
      </c>
      <c r="K131">
        <v>3</v>
      </c>
      <c r="L131" t="s">
        <v>57</v>
      </c>
      <c r="M131" t="s">
        <v>715</v>
      </c>
      <c r="N131" t="s">
        <v>716</v>
      </c>
      <c r="P131" s="14">
        <f>IF(Control!$B$7&lt;H131,0,IF(Control!$B$7&gt;=I131,1,(Control!$B$7-H131+1)/J131))</f>
        <v>0</v>
      </c>
      <c r="Q131" s="14">
        <v>0</v>
      </c>
      <c r="R131" s="14">
        <f t="shared" si="9"/>
        <v>1.6348773841961851E-2</v>
      </c>
      <c r="S131" s="14">
        <f t="shared" si="10"/>
        <v>0</v>
      </c>
      <c r="T131" s="17">
        <f t="shared" si="11"/>
        <v>0</v>
      </c>
      <c r="U131" t="str">
        <f>IF(Q131&gt;=1,"Complete",IF(Q131&gt;0,"In Progress",IF(Control!$B$7&lt;H131,"Not Started",IF(Control!$B$7&gt;I131,"Late","Ready"))))</f>
        <v>Not Started</v>
      </c>
      <c r="V131" s="15">
        <v>46783</v>
      </c>
      <c r="W131" s="15">
        <v>46803</v>
      </c>
    </row>
    <row r="132" spans="1:23">
      <c r="A132" t="s">
        <v>717</v>
      </c>
      <c r="B132" t="s">
        <v>39</v>
      </c>
      <c r="C132" t="s">
        <v>40</v>
      </c>
      <c r="D132" t="s">
        <v>718</v>
      </c>
      <c r="E132" t="s">
        <v>719</v>
      </c>
      <c r="F132" t="s">
        <v>720</v>
      </c>
      <c r="G132" t="s">
        <v>713</v>
      </c>
      <c r="H132">
        <v>85</v>
      </c>
      <c r="I132">
        <v>85</v>
      </c>
      <c r="J132">
        <v>1</v>
      </c>
      <c r="K132">
        <v>1</v>
      </c>
      <c r="L132" t="s">
        <v>57</v>
      </c>
      <c r="M132" t="s">
        <v>721</v>
      </c>
      <c r="N132" t="s">
        <v>722</v>
      </c>
      <c r="P132" s="14">
        <f>IF(Control!$B$7&lt;H132,0,IF(Control!$B$7&gt;=I132,1,(Control!$B$7-H132+1)/J132))</f>
        <v>0</v>
      </c>
      <c r="Q132" s="14">
        <v>0</v>
      </c>
      <c r="R132" s="14">
        <f t="shared" si="9"/>
        <v>5.4495912806539499E-3</v>
      </c>
      <c r="S132" s="14">
        <f t="shared" si="10"/>
        <v>0</v>
      </c>
      <c r="T132" s="17">
        <f t="shared" si="11"/>
        <v>0</v>
      </c>
      <c r="U132" t="str">
        <f>IF(Q132&gt;=1,"Complete",IF(Q132&gt;0,"In Progress",IF(Control!$B$7&lt;H132,"Not Started",IF(Control!$B$7&gt;I132,"Late","Ready"))))</f>
        <v>Not Started</v>
      </c>
      <c r="V132" s="15">
        <v>46804</v>
      </c>
      <c r="W132" s="15">
        <v>46810</v>
      </c>
    </row>
    <row r="133" spans="1:23">
      <c r="A133" t="s">
        <v>723</v>
      </c>
      <c r="B133" t="s">
        <v>39</v>
      </c>
      <c r="C133" t="s">
        <v>40</v>
      </c>
      <c r="D133" t="s">
        <v>718</v>
      </c>
      <c r="E133" t="s">
        <v>719</v>
      </c>
      <c r="F133" t="s">
        <v>724</v>
      </c>
      <c r="G133" t="s">
        <v>717</v>
      </c>
      <c r="H133">
        <v>86</v>
      </c>
      <c r="I133">
        <v>86</v>
      </c>
      <c r="J133">
        <v>1</v>
      </c>
      <c r="K133">
        <v>1</v>
      </c>
      <c r="L133" t="s">
        <v>57</v>
      </c>
      <c r="M133" t="s">
        <v>725</v>
      </c>
      <c r="N133" t="s">
        <v>726</v>
      </c>
      <c r="P133" s="14">
        <f>IF(Control!$B$7&lt;H133,0,IF(Control!$B$7&gt;=I133,1,(Control!$B$7-H133+1)/J133))</f>
        <v>0</v>
      </c>
      <c r="Q133" s="14">
        <v>0</v>
      </c>
      <c r="R133" s="14">
        <f t="shared" si="9"/>
        <v>5.4495912806539499E-3</v>
      </c>
      <c r="S133" s="14">
        <f t="shared" ref="S133:S137" si="12">P133*R133</f>
        <v>0</v>
      </c>
      <c r="T133" s="17">
        <f t="shared" si="11"/>
        <v>0</v>
      </c>
      <c r="U133" t="str">
        <f>IF(Q133&gt;=1,"Complete",IF(Q133&gt;0,"In Progress",IF(Control!$B$7&lt;H133,"Not Started",IF(Control!$B$7&gt;I133,"Late","Ready"))))</f>
        <v>Not Started</v>
      </c>
      <c r="V133" s="15">
        <v>46811</v>
      </c>
      <c r="W133" s="15">
        <v>46817</v>
      </c>
    </row>
    <row r="134" spans="1:23">
      <c r="A134" t="s">
        <v>727</v>
      </c>
      <c r="B134" t="s">
        <v>39</v>
      </c>
      <c r="C134" t="s">
        <v>40</v>
      </c>
      <c r="D134" t="s">
        <v>728</v>
      </c>
      <c r="E134" t="s">
        <v>729</v>
      </c>
      <c r="F134" t="s">
        <v>730</v>
      </c>
      <c r="G134" t="s">
        <v>723</v>
      </c>
      <c r="H134">
        <v>87</v>
      </c>
      <c r="I134">
        <v>87</v>
      </c>
      <c r="J134">
        <v>1</v>
      </c>
      <c r="K134">
        <v>1</v>
      </c>
      <c r="L134" t="s">
        <v>57</v>
      </c>
      <c r="M134" t="s">
        <v>731</v>
      </c>
      <c r="N134" t="s">
        <v>732</v>
      </c>
      <c r="P134" s="14">
        <f>IF(Control!$B$7&lt;H134,0,IF(Control!$B$7&gt;=I134,1,(Control!$B$7-H134+1)/J134))</f>
        <v>0</v>
      </c>
      <c r="Q134" s="14">
        <v>0</v>
      </c>
      <c r="R134" s="14">
        <f t="shared" si="9"/>
        <v>5.4495912806539499E-3</v>
      </c>
      <c r="S134" s="14">
        <f t="shared" si="12"/>
        <v>0</v>
      </c>
      <c r="T134" s="17">
        <f t="shared" si="11"/>
        <v>0</v>
      </c>
      <c r="U134" t="str">
        <f>IF(Q134&gt;=1,"Complete",IF(Q134&gt;0,"In Progress",IF(Control!$B$7&lt;H134,"Not Started",IF(Control!$B$7&gt;I134,"Late","Ready"))))</f>
        <v>Not Started</v>
      </c>
      <c r="V134" s="15">
        <v>46818</v>
      </c>
      <c r="W134" s="15">
        <v>46824</v>
      </c>
    </row>
    <row r="135" spans="1:23">
      <c r="A135" t="s">
        <v>733</v>
      </c>
      <c r="B135" t="s">
        <v>39</v>
      </c>
      <c r="C135" t="s">
        <v>40</v>
      </c>
      <c r="D135" t="s">
        <v>728</v>
      </c>
      <c r="E135" t="s">
        <v>729</v>
      </c>
      <c r="F135" t="s">
        <v>734</v>
      </c>
      <c r="G135" t="s">
        <v>727</v>
      </c>
      <c r="H135">
        <v>88</v>
      </c>
      <c r="I135">
        <v>88</v>
      </c>
      <c r="J135">
        <v>1</v>
      </c>
      <c r="K135">
        <v>1</v>
      </c>
      <c r="L135" t="s">
        <v>57</v>
      </c>
      <c r="M135" t="s">
        <v>735</v>
      </c>
      <c r="N135" t="s">
        <v>736</v>
      </c>
      <c r="P135" s="14">
        <f>IF(Control!$B$7&lt;H135,0,IF(Control!$B$7&gt;=I135,1,(Control!$B$7-H135+1)/J135))</f>
        <v>0</v>
      </c>
      <c r="Q135" s="14">
        <v>0</v>
      </c>
      <c r="R135" s="14">
        <f t="shared" si="9"/>
        <v>5.4495912806539499E-3</v>
      </c>
      <c r="S135" s="14">
        <f t="shared" si="12"/>
        <v>0</v>
      </c>
      <c r="T135" s="17">
        <f t="shared" si="11"/>
        <v>0</v>
      </c>
      <c r="U135" t="str">
        <f>IF(Q135&gt;=1,"Complete",IF(Q135&gt;0,"In Progress",IF(Control!$B$7&lt;H135,"Not Started",IF(Control!$B$7&gt;I135,"Late","Ready"))))</f>
        <v>Not Started</v>
      </c>
      <c r="V135" s="15">
        <v>46825</v>
      </c>
      <c r="W135" s="15">
        <v>46831</v>
      </c>
    </row>
    <row r="136" spans="1:23">
      <c r="A136" t="s">
        <v>737</v>
      </c>
      <c r="B136" t="s">
        <v>39</v>
      </c>
      <c r="C136" t="s">
        <v>40</v>
      </c>
      <c r="D136" t="s">
        <v>738</v>
      </c>
      <c r="E136" t="s">
        <v>739</v>
      </c>
      <c r="F136" t="s">
        <v>740</v>
      </c>
      <c r="G136" t="s">
        <v>733</v>
      </c>
      <c r="H136">
        <v>89</v>
      </c>
      <c r="I136">
        <v>89</v>
      </c>
      <c r="J136">
        <v>1</v>
      </c>
      <c r="K136">
        <v>1</v>
      </c>
      <c r="L136" t="s">
        <v>57</v>
      </c>
      <c r="M136" t="s">
        <v>741</v>
      </c>
      <c r="N136" t="s">
        <v>742</v>
      </c>
      <c r="P136" s="14">
        <f>IF(Control!$B$7&lt;H136,0,IF(Control!$B$7&gt;=I136,1,(Control!$B$7-H136+1)/J136))</f>
        <v>0</v>
      </c>
      <c r="Q136" s="14">
        <v>0</v>
      </c>
      <c r="R136" s="14">
        <f t="shared" si="9"/>
        <v>5.4495912806539499E-3</v>
      </c>
      <c r="S136" s="14">
        <f t="shared" si="12"/>
        <v>0</v>
      </c>
      <c r="T136" s="17">
        <f t="shared" si="11"/>
        <v>0</v>
      </c>
      <c r="U136" t="str">
        <f>IF(Q136&gt;=1,"Complete",IF(Q136&gt;0,"In Progress",IF(Control!$B$7&lt;H136,"Not Started",IF(Control!$B$7&gt;I136,"Late","Ready"))))</f>
        <v>Not Started</v>
      </c>
      <c r="V136" s="15">
        <v>46832</v>
      </c>
      <c r="W136" s="15">
        <v>46838</v>
      </c>
    </row>
    <row r="137" spans="1:23">
      <c r="A137" t="s">
        <v>743</v>
      </c>
      <c r="B137" t="s">
        <v>39</v>
      </c>
      <c r="C137" t="s">
        <v>40</v>
      </c>
      <c r="D137" t="s">
        <v>738</v>
      </c>
      <c r="E137" t="s">
        <v>739</v>
      </c>
      <c r="F137" t="s">
        <v>744</v>
      </c>
      <c r="G137" t="s">
        <v>745</v>
      </c>
      <c r="H137">
        <v>90</v>
      </c>
      <c r="I137">
        <v>90</v>
      </c>
      <c r="J137">
        <v>1</v>
      </c>
      <c r="K137">
        <v>1.3</v>
      </c>
      <c r="L137" t="s">
        <v>57</v>
      </c>
      <c r="M137" t="s">
        <v>746</v>
      </c>
      <c r="N137" t="s">
        <v>747</v>
      </c>
      <c r="O137" t="s">
        <v>41</v>
      </c>
      <c r="P137" s="14">
        <f>IF(Control!$B$7&lt;H137,0,IF(Control!$B$7&gt;=I137,1,(Control!$B$7-H137+1)/J137))</f>
        <v>0</v>
      </c>
      <c r="Q137" s="14">
        <v>0</v>
      </c>
      <c r="R137" s="14">
        <f t="shared" si="9"/>
        <v>7.084468664850135E-3</v>
      </c>
      <c r="S137" s="14">
        <f t="shared" si="12"/>
        <v>0</v>
      </c>
      <c r="T137" s="17">
        <f t="shared" si="11"/>
        <v>0</v>
      </c>
      <c r="U137" t="str">
        <f>IF(Q137&gt;=1,"Complete",IF(Q137&gt;0,"In Progress",IF(Control!$B$7&lt;H137,"Not Started",IF(Control!$B$7&gt;I137,"Late","Ready"))))</f>
        <v>Not Started</v>
      </c>
      <c r="V137" s="15">
        <v>46839</v>
      </c>
      <c r="W137" s="15">
        <v>46845</v>
      </c>
    </row>
  </sheetData>
  <mergeCells count="2">
    <mergeCell ref="A1:X1"/>
    <mergeCell ref="A2:X2"/>
  </mergeCells>
  <conditionalFormatting sqref="O5:O137">
    <cfRule type="expression" dxfId="4" priority="5">
      <formula>O5&lt;&gt;""</formula>
    </cfRule>
  </conditionalFormatting>
  <conditionalFormatting sqref="Q5:Q137">
    <cfRule type="dataBar" priority="1">
      <dataBar>
        <cfvo type="min"/>
        <cfvo type="max"/>
        <color rgb="FF70AD47"/>
      </dataBar>
    </cfRule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{B462C176-FDD7-D37C-5B89-114AAE4E5383}</x14:id>
        </ext>
      </extLst>
    </cfRule>
  </conditionalFormatting>
  <conditionalFormatting sqref="U5:U137">
    <cfRule type="expression" dxfId="3" priority="2">
      <formula>U5="Complete"</formula>
    </cfRule>
    <cfRule type="expression" dxfId="2" priority="3">
      <formula>U5="Late"</formula>
    </cfRule>
    <cfRule type="expression" dxfId="1" priority="4">
      <formula>U5="In Progress"</formula>
    </cfRule>
  </conditionalFormatting>
  <dataValidations count="1">
    <dataValidation type="list" sqref="Q5:Q137" xr:uid="{00000000-0002-0000-0200-000000000000}">
      <formula1>"0,0.1,0.25,0.5,0.75,0.9,1"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62C176-FDD7-D37C-5B89-114AAE4E5383}">
            <x14:dataBar>
              <x14:cfvo type="min"/>
              <x14:cfvo type="max"/>
              <x14:negativeFillColor auto="1"/>
              <x14:axisColor auto="1"/>
            </x14:dataBar>
          </x14:cfRule>
          <xm:sqref>Q5:Q137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workbookViewId="0">
      <selection activeCell="K4" sqref="K4"/>
    </sheetView>
  </sheetViews>
  <sheetFormatPr defaultRowHeight="14.25"/>
  <cols>
    <col min="1" max="2" width="9" customWidth="1"/>
    <col min="3" max="3" width="38" customWidth="1"/>
    <col min="4" max="6" width="12" customWidth="1"/>
    <col min="7" max="9" width="13" customWidth="1"/>
    <col min="10" max="11" width="14" customWidth="1"/>
    <col min="12" max="12" width="15" customWidth="1"/>
  </cols>
  <sheetData>
    <row r="1" spans="1:12" ht="19.5">
      <c r="A1" s="26" t="s">
        <v>748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15">
      <c r="A3" s="1" t="s">
        <v>87</v>
      </c>
      <c r="B3" s="1" t="s">
        <v>10</v>
      </c>
      <c r="C3" s="1" t="s">
        <v>88</v>
      </c>
      <c r="D3" s="1" t="s">
        <v>91</v>
      </c>
      <c r="E3" s="1" t="s">
        <v>92</v>
      </c>
      <c r="F3" s="1" t="s">
        <v>56</v>
      </c>
      <c r="G3" s="1" t="s">
        <v>14</v>
      </c>
      <c r="H3" s="1" t="s">
        <v>15</v>
      </c>
      <c r="I3" s="1" t="s">
        <v>16</v>
      </c>
      <c r="J3" s="1" t="s">
        <v>749</v>
      </c>
      <c r="K3" s="1" t="s">
        <v>18</v>
      </c>
      <c r="L3" s="1" t="s">
        <v>750</v>
      </c>
    </row>
    <row r="4" spans="1:12">
      <c r="A4" s="4" t="s">
        <v>107</v>
      </c>
      <c r="B4" s="4" t="s">
        <v>21</v>
      </c>
      <c r="C4" s="4" t="s">
        <v>108</v>
      </c>
      <c r="D4" s="4">
        <v>1</v>
      </c>
      <c r="E4" s="4">
        <v>2</v>
      </c>
      <c r="F4" s="4" t="s">
        <v>57</v>
      </c>
      <c r="G4" s="6">
        <f>IFERROR(SUMIF(WBS!$D$5:$D$137,A4,WBS!$S$5:$S$137)/SUMIF(WBS!$D$5:$D$137,A4,WBS!$R$5:$R$137),0)</f>
        <v>0.5</v>
      </c>
      <c r="H4" s="6">
        <f>IFERROR(SUMIF(WBS!$D$5:$D$137,A4,WBS!$T$5:$T$137)/SUMIF(WBS!$D$5:$D$137,A4,WBS!$R$5:$R$137),0)</f>
        <v>1</v>
      </c>
      <c r="I4" s="6">
        <f t="shared" ref="I4:I43" si="0">H4-G4</f>
        <v>0.5</v>
      </c>
      <c r="J4" s="4">
        <v>3</v>
      </c>
      <c r="K4" s="4">
        <f>COUNTIFS(WBS!$D$5:$D$137,A4,WBS!$U$5:$U$137,"Complete")</f>
        <v>3</v>
      </c>
      <c r="L4" s="4" t="str">
        <f>IF(H4&gt;=1,"Complete",IF(H4&gt;0,"In Progress",IF(Control!$B$7&lt;D4,"Not Started",IF(Control!$B$7&gt;E4,"Late","Ready"))))</f>
        <v>Complete</v>
      </c>
    </row>
    <row r="5" spans="1:12">
      <c r="A5" s="4" t="s">
        <v>121</v>
      </c>
      <c r="B5" s="4" t="s">
        <v>21</v>
      </c>
      <c r="C5" s="4" t="s">
        <v>122</v>
      </c>
      <c r="D5" s="4">
        <v>2</v>
      </c>
      <c r="E5" s="4">
        <v>4</v>
      </c>
      <c r="F5" s="4" t="s">
        <v>57</v>
      </c>
      <c r="G5" s="6">
        <f>IFERROR(SUMIF(WBS!$D$5:$D$137,A5,WBS!$S$5:$S$137)/SUMIF(WBS!$D$5:$D$137,A5,WBS!$R$5:$R$137),0)</f>
        <v>0</v>
      </c>
      <c r="H5" s="6">
        <f>IFERROR(SUMIF(WBS!$D$5:$D$137,A5,WBS!$T$5:$T$137)/SUMIF(WBS!$D$5:$D$137,A5,WBS!$R$5:$R$137),0)</f>
        <v>1</v>
      </c>
      <c r="I5" s="6">
        <f t="shared" si="0"/>
        <v>1</v>
      </c>
      <c r="J5" s="4">
        <v>4</v>
      </c>
      <c r="K5" s="4">
        <f>COUNTIFS(WBS!$D$5:$D$137,A5,WBS!$U$5:$U$137,"Complete")</f>
        <v>4</v>
      </c>
      <c r="L5" s="4" t="str">
        <f>IF(H5&gt;=1,"Complete",IF(H5&gt;0,"In Progress",IF(Control!$B$7&lt;D5,"Not Started",IF(Control!$B$7&gt;E5,"Late","Ready"))))</f>
        <v>Complete</v>
      </c>
    </row>
    <row r="6" spans="1:12">
      <c r="A6" s="4" t="s">
        <v>141</v>
      </c>
      <c r="B6" s="4" t="s">
        <v>21</v>
      </c>
      <c r="C6" s="4" t="s">
        <v>142</v>
      </c>
      <c r="D6" s="4">
        <v>4</v>
      </c>
      <c r="E6" s="4">
        <v>6</v>
      </c>
      <c r="F6" s="4" t="s">
        <v>57</v>
      </c>
      <c r="G6" s="6">
        <f>IFERROR(SUMIF(WBS!$D$5:$D$137,A6,WBS!$S$5:$S$137)/SUMIF(WBS!$D$5:$D$137,A6,WBS!$R$5:$R$137),0)</f>
        <v>0</v>
      </c>
      <c r="H6" s="6">
        <f>IFERROR(SUMIF(WBS!$D$5:$D$137,A6,WBS!$T$5:$T$137)/SUMIF(WBS!$D$5:$D$137,A6,WBS!$R$5:$R$137),0)</f>
        <v>1</v>
      </c>
      <c r="I6" s="6">
        <f t="shared" si="0"/>
        <v>1</v>
      </c>
      <c r="J6" s="4">
        <v>3</v>
      </c>
      <c r="K6" s="4">
        <f>COUNTIFS(WBS!$D$5:$D$137,A6,WBS!$U$5:$U$137,"Complete")</f>
        <v>3</v>
      </c>
      <c r="L6" s="4" t="str">
        <f>IF(H6&gt;=1,"Complete",IF(H6&gt;0,"In Progress",IF(Control!$B$7&lt;D6,"Not Started",IF(Control!$B$7&gt;E6,"Late","Ready"))))</f>
        <v>Complete</v>
      </c>
    </row>
    <row r="7" spans="1:12">
      <c r="A7" s="4" t="s">
        <v>156</v>
      </c>
      <c r="B7" s="4" t="s">
        <v>24</v>
      </c>
      <c r="C7" s="4" t="s">
        <v>157</v>
      </c>
      <c r="D7" s="4">
        <v>7</v>
      </c>
      <c r="E7" s="4">
        <v>8</v>
      </c>
      <c r="F7" s="4" t="s">
        <v>57</v>
      </c>
      <c r="G7" s="6">
        <f>IFERROR(SUMIF(WBS!$D$5:$D$137,A7,WBS!$S$5:$S$137)/SUMIF(WBS!$D$5:$D$137,A7,WBS!$R$5:$R$137),0)</f>
        <v>0</v>
      </c>
      <c r="H7" s="6">
        <f>IFERROR(SUMIF(WBS!$D$5:$D$137,A7,WBS!$T$5:$T$137)/SUMIF(WBS!$D$5:$D$137,A7,WBS!$R$5:$R$137),0)</f>
        <v>1</v>
      </c>
      <c r="I7" s="6">
        <f t="shared" si="0"/>
        <v>1</v>
      </c>
      <c r="J7" s="4">
        <v>3</v>
      </c>
      <c r="K7" s="4">
        <f>COUNTIFS(WBS!$D$5:$D$137,A7,WBS!$U$5:$U$137,"Complete")</f>
        <v>3</v>
      </c>
      <c r="L7" s="4" t="str">
        <f>IF(H7&gt;=1,"Complete",IF(H7&gt;0,"In Progress",IF(Control!$B$7&lt;D7,"Not Started",IF(Control!$B$7&gt;E7,"Late","Ready"))))</f>
        <v>Complete</v>
      </c>
    </row>
    <row r="8" spans="1:12">
      <c r="A8" s="4" t="s">
        <v>170</v>
      </c>
      <c r="B8" s="4" t="s">
        <v>24</v>
      </c>
      <c r="C8" s="4" t="s">
        <v>171</v>
      </c>
      <c r="D8" s="4">
        <v>8</v>
      </c>
      <c r="E8" s="4">
        <v>9</v>
      </c>
      <c r="F8" s="4" t="s">
        <v>57</v>
      </c>
      <c r="G8" s="6">
        <f>IFERROR(SUMIF(WBS!$D$5:$D$137,A8,WBS!$S$5:$S$137)/SUMIF(WBS!$D$5:$D$137,A8,WBS!$R$5:$R$137),0)</f>
        <v>0</v>
      </c>
      <c r="H8" s="6">
        <f>IFERROR(SUMIF(WBS!$D$5:$D$137,A8,WBS!$T$5:$T$137)/SUMIF(WBS!$D$5:$D$137,A8,WBS!$R$5:$R$137),0)</f>
        <v>0.66666666666666663</v>
      </c>
      <c r="I8" s="6">
        <f t="shared" si="0"/>
        <v>0.66666666666666663</v>
      </c>
      <c r="J8" s="4">
        <v>3</v>
      </c>
      <c r="K8" s="4">
        <f>COUNTIFS(WBS!$D$5:$D$137,A8,WBS!$U$5:$U$137,"Complete")</f>
        <v>2</v>
      </c>
      <c r="L8" s="4" t="str">
        <f>IF(H8&gt;=1,"Complete",IF(H8&gt;0,"In Progress",IF(Control!$B$7&lt;D8,"Not Started",IF(Control!$B$7&gt;E8,"Late","Ready"))))</f>
        <v>In Progress</v>
      </c>
    </row>
    <row r="9" spans="1:12">
      <c r="A9" s="4" t="s">
        <v>184</v>
      </c>
      <c r="B9" s="4" t="s">
        <v>24</v>
      </c>
      <c r="C9" s="4" t="s">
        <v>185</v>
      </c>
      <c r="D9" s="4">
        <v>9</v>
      </c>
      <c r="E9" s="4">
        <v>11</v>
      </c>
      <c r="F9" s="4" t="s">
        <v>57</v>
      </c>
      <c r="G9" s="6">
        <f>IFERROR(SUMIF(WBS!$D$5:$D$137,A9,WBS!$S$5:$S$137)/SUMIF(WBS!$D$5:$D$137,A9,WBS!$R$5:$R$137),0)</f>
        <v>0</v>
      </c>
      <c r="H9" s="6">
        <f>IFERROR(SUMIF(WBS!$D$5:$D$137,A9,WBS!$T$5:$T$137)/SUMIF(WBS!$D$5:$D$137,A9,WBS!$R$5:$R$137),0)</f>
        <v>0</v>
      </c>
      <c r="I9" s="6">
        <f t="shared" si="0"/>
        <v>0</v>
      </c>
      <c r="J9" s="4">
        <v>3</v>
      </c>
      <c r="K9" s="4">
        <f>COUNTIFS(WBS!$D$5:$D$137,A9,WBS!$U$5:$U$137,"Complete")</f>
        <v>0</v>
      </c>
      <c r="L9" s="4" t="str">
        <f>IF(H9&gt;=1,"Complete",IF(H9&gt;0,"In Progress",IF(Control!$B$7&lt;D9,"Not Started",IF(Control!$B$7&gt;E9,"Late","Ready"))))</f>
        <v>Not Started</v>
      </c>
    </row>
    <row r="10" spans="1:12">
      <c r="A10" s="4" t="s">
        <v>198</v>
      </c>
      <c r="B10" s="4" t="s">
        <v>24</v>
      </c>
      <c r="C10" s="4" t="s">
        <v>199</v>
      </c>
      <c r="D10" s="4">
        <v>11</v>
      </c>
      <c r="E10" s="4">
        <v>12</v>
      </c>
      <c r="F10" s="4" t="s">
        <v>57</v>
      </c>
      <c r="G10" s="6">
        <f>IFERROR(SUMIF(WBS!$D$5:$D$137,A10,WBS!$S$5:$S$137)/SUMIF(WBS!$D$5:$D$137,A10,WBS!$R$5:$R$137),0)</f>
        <v>0</v>
      </c>
      <c r="H10" s="6">
        <f>IFERROR(SUMIF(WBS!$D$5:$D$137,A10,WBS!$T$5:$T$137)/SUMIF(WBS!$D$5:$D$137,A10,WBS!$R$5:$R$137),0)</f>
        <v>0</v>
      </c>
      <c r="I10" s="6">
        <f t="shared" si="0"/>
        <v>0</v>
      </c>
      <c r="J10" s="4">
        <v>3</v>
      </c>
      <c r="K10" s="4">
        <f>COUNTIFS(WBS!$D$5:$D$137,A10,WBS!$U$5:$U$137,"Complete")</f>
        <v>0</v>
      </c>
      <c r="L10" s="4" t="str">
        <f>IF(H10&gt;=1,"Complete",IF(H10&gt;0,"In Progress",IF(Control!$B$7&lt;D10,"Not Started",IF(Control!$B$7&gt;E10,"Late","Ready"))))</f>
        <v>Not Started</v>
      </c>
    </row>
    <row r="11" spans="1:12">
      <c r="A11" s="4" t="s">
        <v>213</v>
      </c>
      <c r="B11" s="4" t="s">
        <v>27</v>
      </c>
      <c r="C11" s="4" t="s">
        <v>214</v>
      </c>
      <c r="D11" s="4">
        <v>13</v>
      </c>
      <c r="E11" s="4">
        <v>14</v>
      </c>
      <c r="F11" s="4" t="s">
        <v>57</v>
      </c>
      <c r="G11" s="6">
        <f>IFERROR(SUMIF(WBS!$D$5:$D$137,A11,WBS!$S$5:$S$137)/SUMIF(WBS!$D$5:$D$137,A11,WBS!$R$5:$R$137),0)</f>
        <v>0</v>
      </c>
      <c r="H11" s="6">
        <f>IFERROR(SUMIF(WBS!$D$5:$D$137,A11,WBS!$T$5:$T$137)/SUMIF(WBS!$D$5:$D$137,A11,WBS!$R$5:$R$137),0)</f>
        <v>0</v>
      </c>
      <c r="I11" s="6">
        <f t="shared" si="0"/>
        <v>0</v>
      </c>
      <c r="J11" s="4">
        <v>3</v>
      </c>
      <c r="K11" s="4">
        <f>COUNTIFS(WBS!$D$5:$D$137,A11,WBS!$U$5:$U$137,"Complete")</f>
        <v>0</v>
      </c>
      <c r="L11" s="4" t="str">
        <f>IF(H11&gt;=1,"Complete",IF(H11&gt;0,"In Progress",IF(Control!$B$7&lt;D11,"Not Started",IF(Control!$B$7&gt;E11,"Late","Ready"))))</f>
        <v>Not Started</v>
      </c>
    </row>
    <row r="12" spans="1:12">
      <c r="A12" s="4" t="s">
        <v>227</v>
      </c>
      <c r="B12" s="4" t="s">
        <v>27</v>
      </c>
      <c r="C12" s="4" t="s">
        <v>228</v>
      </c>
      <c r="D12" s="4">
        <v>15</v>
      </c>
      <c r="E12" s="4">
        <v>17</v>
      </c>
      <c r="F12" s="4" t="s">
        <v>57</v>
      </c>
      <c r="G12" s="6">
        <f>IFERROR(SUMIF(WBS!$D$5:$D$137,A12,WBS!$S$5:$S$137)/SUMIF(WBS!$D$5:$D$137,A12,WBS!$R$5:$R$137),0)</f>
        <v>0</v>
      </c>
      <c r="H12" s="6">
        <f>IFERROR(SUMIF(WBS!$D$5:$D$137,A12,WBS!$T$5:$T$137)/SUMIF(WBS!$D$5:$D$137,A12,WBS!$R$5:$R$137),0)</f>
        <v>0</v>
      </c>
      <c r="I12" s="6">
        <f t="shared" si="0"/>
        <v>0</v>
      </c>
      <c r="J12" s="4">
        <v>3</v>
      </c>
      <c r="K12" s="4">
        <f>COUNTIFS(WBS!$D$5:$D$137,A12,WBS!$U$5:$U$137,"Complete")</f>
        <v>0</v>
      </c>
      <c r="L12" s="4" t="str">
        <f>IF(H12&gt;=1,"Complete",IF(H12&gt;0,"In Progress",IF(Control!$B$7&lt;D12,"Not Started",IF(Control!$B$7&gt;E12,"Late","Ready"))))</f>
        <v>Not Started</v>
      </c>
    </row>
    <row r="13" spans="1:12">
      <c r="A13" s="4" t="s">
        <v>241</v>
      </c>
      <c r="B13" s="4" t="s">
        <v>27</v>
      </c>
      <c r="C13" s="4" t="s">
        <v>242</v>
      </c>
      <c r="D13" s="4">
        <v>18</v>
      </c>
      <c r="E13" s="4">
        <v>21</v>
      </c>
      <c r="F13" s="4" t="s">
        <v>57</v>
      </c>
      <c r="G13" s="6">
        <f>IFERROR(SUMIF(WBS!$D$5:$D$137,A13,WBS!$S$5:$S$137)/SUMIF(WBS!$D$5:$D$137,A13,WBS!$R$5:$R$137),0)</f>
        <v>0</v>
      </c>
      <c r="H13" s="6">
        <f>IFERROR(SUMIF(WBS!$D$5:$D$137,A13,WBS!$T$5:$T$137)/SUMIF(WBS!$D$5:$D$137,A13,WBS!$R$5:$R$137),0)</f>
        <v>0</v>
      </c>
      <c r="I13" s="6">
        <f t="shared" si="0"/>
        <v>0</v>
      </c>
      <c r="J13" s="4">
        <v>4</v>
      </c>
      <c r="K13" s="4">
        <f>COUNTIFS(WBS!$D$5:$D$137,A13,WBS!$U$5:$U$137,"Complete")</f>
        <v>0</v>
      </c>
      <c r="L13" s="4" t="str">
        <f>IF(H13&gt;=1,"Complete",IF(H13&gt;0,"In Progress",IF(Control!$B$7&lt;D13,"Not Started",IF(Control!$B$7&gt;E13,"Late","Ready"))))</f>
        <v>Not Started</v>
      </c>
    </row>
    <row r="14" spans="1:12">
      <c r="A14" s="4" t="s">
        <v>261</v>
      </c>
      <c r="B14" s="4" t="s">
        <v>27</v>
      </c>
      <c r="C14" s="4" t="s">
        <v>262</v>
      </c>
      <c r="D14" s="4">
        <v>15</v>
      </c>
      <c r="E14" s="4">
        <v>18</v>
      </c>
      <c r="F14" s="4" t="s">
        <v>57</v>
      </c>
      <c r="G14" s="6">
        <f>IFERROR(SUMIF(WBS!$D$5:$D$137,A14,WBS!$S$5:$S$137)/SUMIF(WBS!$D$5:$D$137,A14,WBS!$R$5:$R$137),0)</f>
        <v>0</v>
      </c>
      <c r="H14" s="6">
        <f>IFERROR(SUMIF(WBS!$D$5:$D$137,A14,WBS!$T$5:$T$137)/SUMIF(WBS!$D$5:$D$137,A14,WBS!$R$5:$R$137),0)</f>
        <v>0</v>
      </c>
      <c r="I14" s="6">
        <f t="shared" si="0"/>
        <v>0</v>
      </c>
      <c r="J14" s="4">
        <v>4</v>
      </c>
      <c r="K14" s="4">
        <f>COUNTIFS(WBS!$D$5:$D$137,A14,WBS!$U$5:$U$137,"Complete")</f>
        <v>0</v>
      </c>
      <c r="L14" s="4" t="str">
        <f>IF(H14&gt;=1,"Complete",IF(H14&gt;0,"In Progress",IF(Control!$B$7&lt;D14,"Not Started",IF(Control!$B$7&gt;E14,"Late","Ready"))))</f>
        <v>Not Started</v>
      </c>
    </row>
    <row r="15" spans="1:12">
      <c r="A15" s="4" t="s">
        <v>280</v>
      </c>
      <c r="B15" s="4" t="s">
        <v>27</v>
      </c>
      <c r="C15" s="4" t="s">
        <v>281</v>
      </c>
      <c r="D15" s="4">
        <v>22</v>
      </c>
      <c r="E15" s="4">
        <v>24</v>
      </c>
      <c r="F15" s="4" t="s">
        <v>57</v>
      </c>
      <c r="G15" s="6">
        <f>IFERROR(SUMIF(WBS!$D$5:$D$137,A15,WBS!$S$5:$S$137)/SUMIF(WBS!$D$5:$D$137,A15,WBS!$R$5:$R$137),0)</f>
        <v>0</v>
      </c>
      <c r="H15" s="6">
        <f>IFERROR(SUMIF(WBS!$D$5:$D$137,A15,WBS!$T$5:$T$137)/SUMIF(WBS!$D$5:$D$137,A15,WBS!$R$5:$R$137),0)</f>
        <v>0</v>
      </c>
      <c r="I15" s="6">
        <f t="shared" si="0"/>
        <v>0</v>
      </c>
      <c r="J15" s="4">
        <v>4</v>
      </c>
      <c r="K15" s="4">
        <f>COUNTIFS(WBS!$D$5:$D$137,A15,WBS!$U$5:$U$137,"Complete")</f>
        <v>0</v>
      </c>
      <c r="L15" s="4" t="str">
        <f>IF(H15&gt;=1,"Complete",IF(H15&gt;0,"In Progress",IF(Control!$B$7&lt;D15,"Not Started",IF(Control!$B$7&gt;E15,"Late","Ready"))))</f>
        <v>Not Started</v>
      </c>
    </row>
    <row r="16" spans="1:12">
      <c r="A16" s="4" t="s">
        <v>299</v>
      </c>
      <c r="B16" s="4" t="s">
        <v>27</v>
      </c>
      <c r="C16" s="4" t="s">
        <v>300</v>
      </c>
      <c r="D16" s="4">
        <v>22</v>
      </c>
      <c r="E16" s="4">
        <v>25</v>
      </c>
      <c r="F16" s="4" t="s">
        <v>57</v>
      </c>
      <c r="G16" s="6">
        <f>IFERROR(SUMIF(WBS!$D$5:$D$137,A16,WBS!$S$5:$S$137)/SUMIF(WBS!$D$5:$D$137,A16,WBS!$R$5:$R$137),0)</f>
        <v>0</v>
      </c>
      <c r="H16" s="6">
        <f>IFERROR(SUMIF(WBS!$D$5:$D$137,A16,WBS!$T$5:$T$137)/SUMIF(WBS!$D$5:$D$137,A16,WBS!$R$5:$R$137),0)</f>
        <v>0</v>
      </c>
      <c r="I16" s="6">
        <f t="shared" si="0"/>
        <v>0</v>
      </c>
      <c r="J16" s="4">
        <v>4</v>
      </c>
      <c r="K16" s="4">
        <f>COUNTIFS(WBS!$D$5:$D$137,A16,WBS!$U$5:$U$137,"Complete")</f>
        <v>0</v>
      </c>
      <c r="L16" s="4" t="str">
        <f>IF(H16&gt;=1,"Complete",IF(H16&gt;0,"In Progress",IF(Control!$B$7&lt;D16,"Not Started",IF(Control!$B$7&gt;E16,"Late","Ready"))))</f>
        <v>Not Started</v>
      </c>
    </row>
    <row r="17" spans="1:12">
      <c r="A17" s="4" t="s">
        <v>318</v>
      </c>
      <c r="B17" s="4" t="s">
        <v>27</v>
      </c>
      <c r="C17" s="4" t="s">
        <v>319</v>
      </c>
      <c r="D17" s="4">
        <v>26</v>
      </c>
      <c r="E17" s="4">
        <v>28</v>
      </c>
      <c r="F17" s="4" t="s">
        <v>57</v>
      </c>
      <c r="G17" s="6">
        <f>IFERROR(SUMIF(WBS!$D$5:$D$137,A17,WBS!$S$5:$S$137)/SUMIF(WBS!$D$5:$D$137,A17,WBS!$R$5:$R$137),0)</f>
        <v>0</v>
      </c>
      <c r="H17" s="6">
        <f>IFERROR(SUMIF(WBS!$D$5:$D$137,A17,WBS!$T$5:$T$137)/SUMIF(WBS!$D$5:$D$137,A17,WBS!$R$5:$R$137),0)</f>
        <v>0</v>
      </c>
      <c r="I17" s="6">
        <f t="shared" si="0"/>
        <v>0</v>
      </c>
      <c r="J17" s="4">
        <v>4</v>
      </c>
      <c r="K17" s="4">
        <f>COUNTIFS(WBS!$D$5:$D$137,A17,WBS!$U$5:$U$137,"Complete")</f>
        <v>0</v>
      </c>
      <c r="L17" s="4" t="str">
        <f>IF(H17&gt;=1,"Complete",IF(H17&gt;0,"In Progress",IF(Control!$B$7&lt;D17,"Not Started",IF(Control!$B$7&gt;E17,"Late","Ready"))))</f>
        <v>Not Started</v>
      </c>
    </row>
    <row r="18" spans="1:12">
      <c r="A18" s="4" t="s">
        <v>336</v>
      </c>
      <c r="B18" s="4" t="s">
        <v>27</v>
      </c>
      <c r="C18" s="4" t="s">
        <v>337</v>
      </c>
      <c r="D18" s="4">
        <v>29</v>
      </c>
      <c r="E18" s="4">
        <v>34</v>
      </c>
      <c r="F18" s="4" t="s">
        <v>57</v>
      </c>
      <c r="G18" s="6">
        <f>IFERROR(SUMIF(WBS!$D$5:$D$137,A18,WBS!$S$5:$S$137)/SUMIF(WBS!$D$5:$D$137,A18,WBS!$R$5:$R$137),0)</f>
        <v>0</v>
      </c>
      <c r="H18" s="6">
        <f>IFERROR(SUMIF(WBS!$D$5:$D$137,A18,WBS!$T$5:$T$137)/SUMIF(WBS!$D$5:$D$137,A18,WBS!$R$5:$R$137),0)</f>
        <v>0</v>
      </c>
      <c r="I18" s="6">
        <f t="shared" si="0"/>
        <v>0</v>
      </c>
      <c r="J18" s="4">
        <v>6</v>
      </c>
      <c r="K18" s="4">
        <f>COUNTIFS(WBS!$D$5:$D$137,A18,WBS!$U$5:$U$137,"Complete")</f>
        <v>0</v>
      </c>
      <c r="L18" s="4" t="str">
        <f>IF(H18&gt;=1,"Complete",IF(H18&gt;0,"In Progress",IF(Control!$B$7&lt;D18,"Not Started",IF(Control!$B$7&gt;E18,"Late","Ready"))))</f>
        <v>Not Started</v>
      </c>
    </row>
    <row r="19" spans="1:12">
      <c r="A19" s="4" t="s">
        <v>365</v>
      </c>
      <c r="B19" s="4" t="s">
        <v>30</v>
      </c>
      <c r="C19" s="4" t="s">
        <v>366</v>
      </c>
      <c r="D19" s="4">
        <v>35</v>
      </c>
      <c r="E19" s="4">
        <v>56</v>
      </c>
      <c r="F19" s="4" t="s">
        <v>57</v>
      </c>
      <c r="G19" s="6">
        <f>IFERROR(SUMIF(WBS!$D$5:$D$137,A19,WBS!$S$5:$S$137)/SUMIF(WBS!$D$5:$D$137,A19,WBS!$R$5:$R$137),0)</f>
        <v>0</v>
      </c>
      <c r="H19" s="6">
        <f>IFERROR(SUMIF(WBS!$D$5:$D$137,A19,WBS!$T$5:$T$137)/SUMIF(WBS!$D$5:$D$137,A19,WBS!$R$5:$R$137),0)</f>
        <v>0</v>
      </c>
      <c r="I19" s="6">
        <f t="shared" si="0"/>
        <v>0</v>
      </c>
      <c r="J19" s="4">
        <v>5</v>
      </c>
      <c r="K19" s="4">
        <f>COUNTIFS(WBS!$D$5:$D$137,A19,WBS!$U$5:$U$137,"Complete")</f>
        <v>0</v>
      </c>
      <c r="L19" s="4" t="str">
        <f>IF(H19&gt;=1,"Complete",IF(H19&gt;0,"In Progress",IF(Control!$B$7&lt;D19,"Not Started",IF(Control!$B$7&gt;E19,"Late","Ready"))))</f>
        <v>Not Started</v>
      </c>
    </row>
    <row r="20" spans="1:12">
      <c r="A20" s="4" t="s">
        <v>379</v>
      </c>
      <c r="B20" s="4" t="s">
        <v>30</v>
      </c>
      <c r="C20" s="4" t="s">
        <v>380</v>
      </c>
      <c r="D20" s="4">
        <v>38</v>
      </c>
      <c r="E20" s="4">
        <v>40</v>
      </c>
      <c r="F20" s="4" t="s">
        <v>57</v>
      </c>
      <c r="G20" s="6">
        <f>IFERROR(SUMIF(WBS!$D$5:$D$137,A20,WBS!$S$5:$S$137)/SUMIF(WBS!$D$5:$D$137,A20,WBS!$R$5:$R$137),0)</f>
        <v>0</v>
      </c>
      <c r="H20" s="6">
        <f>IFERROR(SUMIF(WBS!$D$5:$D$137,A20,WBS!$T$5:$T$137)/SUMIF(WBS!$D$5:$D$137,A20,WBS!$R$5:$R$137),0)</f>
        <v>0</v>
      </c>
      <c r="I20" s="6">
        <f t="shared" si="0"/>
        <v>0</v>
      </c>
      <c r="J20" s="4">
        <v>4</v>
      </c>
      <c r="K20" s="4">
        <f>COUNTIFS(WBS!$D$5:$D$137,A20,WBS!$U$5:$U$137,"Complete")</f>
        <v>0</v>
      </c>
      <c r="L20" s="4" t="str">
        <f>IF(H20&gt;=1,"Complete",IF(H20&gt;0,"In Progress",IF(Control!$B$7&lt;D20,"Not Started",IF(Control!$B$7&gt;E20,"Late","Ready"))))</f>
        <v>Not Started</v>
      </c>
    </row>
    <row r="21" spans="1:12">
      <c r="A21" s="4" t="s">
        <v>397</v>
      </c>
      <c r="B21" s="4" t="s">
        <v>30</v>
      </c>
      <c r="C21" s="4" t="s">
        <v>398</v>
      </c>
      <c r="D21" s="4">
        <v>41</v>
      </c>
      <c r="E21" s="4">
        <v>44</v>
      </c>
      <c r="F21" s="4" t="s">
        <v>57</v>
      </c>
      <c r="G21" s="6">
        <f>IFERROR(SUMIF(WBS!$D$5:$D$137,A21,WBS!$S$5:$S$137)/SUMIF(WBS!$D$5:$D$137,A21,WBS!$R$5:$R$137),0)</f>
        <v>0</v>
      </c>
      <c r="H21" s="6">
        <f>IFERROR(SUMIF(WBS!$D$5:$D$137,A21,WBS!$T$5:$T$137)/SUMIF(WBS!$D$5:$D$137,A21,WBS!$R$5:$R$137),0)</f>
        <v>0</v>
      </c>
      <c r="I21" s="6">
        <f t="shared" si="0"/>
        <v>0</v>
      </c>
      <c r="J21" s="4">
        <v>4</v>
      </c>
      <c r="K21" s="4">
        <f>COUNTIFS(WBS!$D$5:$D$137,A21,WBS!$U$5:$U$137,"Complete")</f>
        <v>0</v>
      </c>
      <c r="L21" s="4" t="str">
        <f>IF(H21&gt;=1,"Complete",IF(H21&gt;0,"In Progress",IF(Control!$B$7&lt;D21,"Not Started",IF(Control!$B$7&gt;E21,"Late","Ready"))))</f>
        <v>Not Started</v>
      </c>
    </row>
    <row r="22" spans="1:12">
      <c r="A22" s="4" t="s">
        <v>417</v>
      </c>
      <c r="B22" s="4" t="s">
        <v>30</v>
      </c>
      <c r="C22" s="4" t="s">
        <v>418</v>
      </c>
      <c r="D22" s="4">
        <v>45</v>
      </c>
      <c r="E22" s="4">
        <v>47</v>
      </c>
      <c r="F22" s="4" t="s">
        <v>57</v>
      </c>
      <c r="G22" s="6">
        <f>IFERROR(SUMIF(WBS!$D$5:$D$137,A22,WBS!$S$5:$S$137)/SUMIF(WBS!$D$5:$D$137,A22,WBS!$R$5:$R$137),0)</f>
        <v>0</v>
      </c>
      <c r="H22" s="6">
        <f>IFERROR(SUMIF(WBS!$D$5:$D$137,A22,WBS!$T$5:$T$137)/SUMIF(WBS!$D$5:$D$137,A22,WBS!$R$5:$R$137),0)</f>
        <v>0</v>
      </c>
      <c r="I22" s="6">
        <f t="shared" si="0"/>
        <v>0</v>
      </c>
      <c r="J22" s="4">
        <v>4</v>
      </c>
      <c r="K22" s="4">
        <f>COUNTIFS(WBS!$D$5:$D$137,A22,WBS!$U$5:$U$137,"Complete")</f>
        <v>0</v>
      </c>
      <c r="L22" s="4" t="str">
        <f>IF(H22&gt;=1,"Complete",IF(H22&gt;0,"In Progress",IF(Control!$B$7&lt;D22,"Not Started",IF(Control!$B$7&gt;E22,"Late","Ready"))))</f>
        <v>Not Started</v>
      </c>
    </row>
    <row r="23" spans="1:12">
      <c r="A23" s="4" t="s">
        <v>437</v>
      </c>
      <c r="B23" s="4" t="s">
        <v>30</v>
      </c>
      <c r="C23" s="4" t="s">
        <v>438</v>
      </c>
      <c r="D23" s="4">
        <v>38</v>
      </c>
      <c r="E23" s="4">
        <v>42</v>
      </c>
      <c r="F23" s="4" t="s">
        <v>57</v>
      </c>
      <c r="G23" s="6">
        <f>IFERROR(SUMIF(WBS!$D$5:$D$137,A23,WBS!$S$5:$S$137)/SUMIF(WBS!$D$5:$D$137,A23,WBS!$R$5:$R$137),0)</f>
        <v>0</v>
      </c>
      <c r="H23" s="6">
        <f>IFERROR(SUMIF(WBS!$D$5:$D$137,A23,WBS!$T$5:$T$137)/SUMIF(WBS!$D$5:$D$137,A23,WBS!$R$5:$R$137),0)</f>
        <v>0</v>
      </c>
      <c r="I23" s="6">
        <f t="shared" si="0"/>
        <v>0</v>
      </c>
      <c r="J23" s="4">
        <v>4</v>
      </c>
      <c r="K23" s="4">
        <f>COUNTIFS(WBS!$D$5:$D$137,A23,WBS!$U$5:$U$137,"Complete")</f>
        <v>0</v>
      </c>
      <c r="L23" s="4" t="str">
        <f>IF(H23&gt;=1,"Complete",IF(H23&gt;0,"In Progress",IF(Control!$B$7&lt;D23,"Not Started",IF(Control!$B$7&gt;E23,"Late","Ready"))))</f>
        <v>Not Started</v>
      </c>
    </row>
    <row r="24" spans="1:12">
      <c r="A24" s="4" t="s">
        <v>458</v>
      </c>
      <c r="B24" s="4" t="s">
        <v>30</v>
      </c>
      <c r="C24" s="4" t="s">
        <v>459</v>
      </c>
      <c r="D24" s="4">
        <v>48</v>
      </c>
      <c r="E24" s="4">
        <v>50</v>
      </c>
      <c r="F24" s="4" t="s">
        <v>57</v>
      </c>
      <c r="G24" s="6">
        <f>IFERROR(SUMIF(WBS!$D$5:$D$137,A24,WBS!$S$5:$S$137)/SUMIF(WBS!$D$5:$D$137,A24,WBS!$R$5:$R$137),0)</f>
        <v>0</v>
      </c>
      <c r="H24" s="6">
        <f>IFERROR(SUMIF(WBS!$D$5:$D$137,A24,WBS!$T$5:$T$137)/SUMIF(WBS!$D$5:$D$137,A24,WBS!$R$5:$R$137),0)</f>
        <v>0</v>
      </c>
      <c r="I24" s="6">
        <f t="shared" si="0"/>
        <v>0</v>
      </c>
      <c r="J24" s="4">
        <v>4</v>
      </c>
      <c r="K24" s="4">
        <f>COUNTIFS(WBS!$D$5:$D$137,A24,WBS!$U$5:$U$137,"Complete")</f>
        <v>0</v>
      </c>
      <c r="L24" s="4" t="str">
        <f>IF(H24&gt;=1,"Complete",IF(H24&gt;0,"In Progress",IF(Control!$B$7&lt;D24,"Not Started",IF(Control!$B$7&gt;E24,"Late","Ready"))))</f>
        <v>Not Started</v>
      </c>
    </row>
    <row r="25" spans="1:12">
      <c r="A25" s="4" t="s">
        <v>477</v>
      </c>
      <c r="B25" s="4" t="s">
        <v>30</v>
      </c>
      <c r="C25" s="4" t="s">
        <v>478</v>
      </c>
      <c r="D25" s="4">
        <v>51</v>
      </c>
      <c r="E25" s="4">
        <v>54</v>
      </c>
      <c r="F25" s="4" t="s">
        <v>57</v>
      </c>
      <c r="G25" s="6">
        <f>IFERROR(SUMIF(WBS!$D$5:$D$137,A25,WBS!$S$5:$S$137)/SUMIF(WBS!$D$5:$D$137,A25,WBS!$R$5:$R$137),0)</f>
        <v>0</v>
      </c>
      <c r="H25" s="6">
        <f>IFERROR(SUMIF(WBS!$D$5:$D$137,A25,WBS!$T$5:$T$137)/SUMIF(WBS!$D$5:$D$137,A25,WBS!$R$5:$R$137),0)</f>
        <v>0</v>
      </c>
      <c r="I25" s="6">
        <f t="shared" si="0"/>
        <v>0</v>
      </c>
      <c r="J25" s="4">
        <v>4</v>
      </c>
      <c r="K25" s="4">
        <f>COUNTIFS(WBS!$D$5:$D$137,A25,WBS!$U$5:$U$137,"Complete")</f>
        <v>0</v>
      </c>
      <c r="L25" s="4" t="str">
        <f>IF(H25&gt;=1,"Complete",IF(H25&gt;0,"In Progress",IF(Control!$B$7&lt;D25,"Not Started",IF(Control!$B$7&gt;E25,"Late","Ready"))))</f>
        <v>Not Started</v>
      </c>
    </row>
    <row r="26" spans="1:12">
      <c r="A26" s="4" t="s">
        <v>498</v>
      </c>
      <c r="B26" s="4" t="s">
        <v>30</v>
      </c>
      <c r="C26" s="4" t="s">
        <v>499</v>
      </c>
      <c r="D26" s="4">
        <v>35</v>
      </c>
      <c r="E26" s="4">
        <v>54</v>
      </c>
      <c r="F26" s="4" t="s">
        <v>57</v>
      </c>
      <c r="G26" s="6">
        <f>IFERROR(SUMIF(WBS!$D$5:$D$137,A26,WBS!$S$5:$S$137)/SUMIF(WBS!$D$5:$D$137,A26,WBS!$R$5:$R$137),0)</f>
        <v>0</v>
      </c>
      <c r="H26" s="6">
        <f>IFERROR(SUMIF(WBS!$D$5:$D$137,A26,WBS!$T$5:$T$137)/SUMIF(WBS!$D$5:$D$137,A26,WBS!$R$5:$R$137),0)</f>
        <v>0</v>
      </c>
      <c r="I26" s="6">
        <f t="shared" si="0"/>
        <v>0</v>
      </c>
      <c r="J26" s="4">
        <v>4</v>
      </c>
      <c r="K26" s="4">
        <f>COUNTIFS(WBS!$D$5:$D$137,A26,WBS!$U$5:$U$137,"Complete")</f>
        <v>0</v>
      </c>
      <c r="L26" s="4" t="str">
        <f>IF(H26&gt;=1,"Complete",IF(H26&gt;0,"In Progress",IF(Control!$B$7&lt;D26,"Not Started",IF(Control!$B$7&gt;E26,"Late","Ready"))))</f>
        <v>Not Started</v>
      </c>
    </row>
    <row r="27" spans="1:12">
      <c r="A27" s="4" t="s">
        <v>526</v>
      </c>
      <c r="B27" s="4" t="s">
        <v>33</v>
      </c>
      <c r="C27" s="4" t="s">
        <v>527</v>
      </c>
      <c r="D27" s="4">
        <v>57</v>
      </c>
      <c r="E27" s="4">
        <v>58</v>
      </c>
      <c r="F27" s="4" t="s">
        <v>57</v>
      </c>
      <c r="G27" s="6">
        <f>IFERROR(SUMIF(WBS!$D$5:$D$137,A27,WBS!$S$5:$S$137)/SUMIF(WBS!$D$5:$D$137,A27,WBS!$R$5:$R$137),0)</f>
        <v>0</v>
      </c>
      <c r="H27" s="6">
        <f>IFERROR(SUMIF(WBS!$D$5:$D$137,A27,WBS!$T$5:$T$137)/SUMIF(WBS!$D$5:$D$137,A27,WBS!$R$5:$R$137),0)</f>
        <v>0</v>
      </c>
      <c r="I27" s="6">
        <f t="shared" si="0"/>
        <v>0</v>
      </c>
      <c r="J27" s="4">
        <v>3</v>
      </c>
      <c r="K27" s="4">
        <f>COUNTIFS(WBS!$D$5:$D$137,A27,WBS!$U$5:$U$137,"Complete")</f>
        <v>0</v>
      </c>
      <c r="L27" s="4" t="str">
        <f>IF(H27&gt;=1,"Complete",IF(H27&gt;0,"In Progress",IF(Control!$B$7&lt;D27,"Not Started",IF(Control!$B$7&gt;E27,"Late","Ready"))))</f>
        <v>Not Started</v>
      </c>
    </row>
    <row r="28" spans="1:12">
      <c r="A28" s="4" t="s">
        <v>540</v>
      </c>
      <c r="B28" s="4" t="s">
        <v>33</v>
      </c>
      <c r="C28" s="4" t="s">
        <v>541</v>
      </c>
      <c r="D28" s="4">
        <v>57</v>
      </c>
      <c r="E28" s="4">
        <v>60</v>
      </c>
      <c r="F28" s="4" t="s">
        <v>57</v>
      </c>
      <c r="G28" s="6">
        <f>IFERROR(SUMIF(WBS!$D$5:$D$137,A28,WBS!$S$5:$S$137)/SUMIF(WBS!$D$5:$D$137,A28,WBS!$R$5:$R$137),0)</f>
        <v>0</v>
      </c>
      <c r="H28" s="6">
        <f>IFERROR(SUMIF(WBS!$D$5:$D$137,A28,WBS!$T$5:$T$137)/SUMIF(WBS!$D$5:$D$137,A28,WBS!$R$5:$R$137),0)</f>
        <v>0</v>
      </c>
      <c r="I28" s="6">
        <f t="shared" si="0"/>
        <v>0</v>
      </c>
      <c r="J28" s="4">
        <v>3</v>
      </c>
      <c r="K28" s="4">
        <f>COUNTIFS(WBS!$D$5:$D$137,A28,WBS!$U$5:$U$137,"Complete")</f>
        <v>0</v>
      </c>
      <c r="L28" s="4" t="str">
        <f>IF(H28&gt;=1,"Complete",IF(H28&gt;0,"In Progress",IF(Control!$B$7&lt;D28,"Not Started",IF(Control!$B$7&gt;E28,"Late","Ready"))))</f>
        <v>Not Started</v>
      </c>
    </row>
    <row r="29" spans="1:12">
      <c r="A29" s="4" t="s">
        <v>554</v>
      </c>
      <c r="B29" s="4" t="s">
        <v>33</v>
      </c>
      <c r="C29" s="4" t="s">
        <v>555</v>
      </c>
      <c r="D29" s="4">
        <v>61</v>
      </c>
      <c r="E29" s="4">
        <v>62</v>
      </c>
      <c r="F29" s="4" t="s">
        <v>57</v>
      </c>
      <c r="G29" s="6">
        <f>IFERROR(SUMIF(WBS!$D$5:$D$137,A29,WBS!$S$5:$S$137)/SUMIF(WBS!$D$5:$D$137,A29,WBS!$R$5:$R$137),0)</f>
        <v>0</v>
      </c>
      <c r="H29" s="6">
        <f>IFERROR(SUMIF(WBS!$D$5:$D$137,A29,WBS!$T$5:$T$137)/SUMIF(WBS!$D$5:$D$137,A29,WBS!$R$5:$R$137),0)</f>
        <v>0</v>
      </c>
      <c r="I29" s="6">
        <f t="shared" si="0"/>
        <v>0</v>
      </c>
      <c r="J29" s="4">
        <v>3</v>
      </c>
      <c r="K29" s="4">
        <f>COUNTIFS(WBS!$D$5:$D$137,A29,WBS!$U$5:$U$137,"Complete")</f>
        <v>0</v>
      </c>
      <c r="L29" s="4" t="str">
        <f>IF(H29&gt;=1,"Complete",IF(H29&gt;0,"In Progress",IF(Control!$B$7&lt;D29,"Not Started",IF(Control!$B$7&gt;E29,"Late","Ready"))))</f>
        <v>Not Started</v>
      </c>
    </row>
    <row r="30" spans="1:12">
      <c r="A30" s="4" t="s">
        <v>568</v>
      </c>
      <c r="B30" s="4" t="s">
        <v>33</v>
      </c>
      <c r="C30" s="4" t="s">
        <v>569</v>
      </c>
      <c r="D30" s="4">
        <v>63</v>
      </c>
      <c r="E30" s="4">
        <v>65</v>
      </c>
      <c r="F30" s="4" t="s">
        <v>57</v>
      </c>
      <c r="G30" s="6">
        <f>IFERROR(SUMIF(WBS!$D$5:$D$137,A30,WBS!$S$5:$S$137)/SUMIF(WBS!$D$5:$D$137,A30,WBS!$R$5:$R$137),0)</f>
        <v>0</v>
      </c>
      <c r="H30" s="6">
        <f>IFERROR(SUMIF(WBS!$D$5:$D$137,A30,WBS!$T$5:$T$137)/SUMIF(WBS!$D$5:$D$137,A30,WBS!$R$5:$R$137),0)</f>
        <v>0</v>
      </c>
      <c r="I30" s="6">
        <f t="shared" si="0"/>
        <v>0</v>
      </c>
      <c r="J30" s="4">
        <v>3</v>
      </c>
      <c r="K30" s="4">
        <f>COUNTIFS(WBS!$D$5:$D$137,A30,WBS!$U$5:$U$137,"Complete")</f>
        <v>0</v>
      </c>
      <c r="L30" s="4" t="str">
        <f>IF(H30&gt;=1,"Complete",IF(H30&gt;0,"In Progress",IF(Control!$B$7&lt;D30,"Not Started",IF(Control!$B$7&gt;E30,"Late","Ready"))))</f>
        <v>Not Started</v>
      </c>
    </row>
    <row r="31" spans="1:12">
      <c r="A31" s="4" t="s">
        <v>582</v>
      </c>
      <c r="B31" s="4" t="s">
        <v>33</v>
      </c>
      <c r="C31" s="4" t="s">
        <v>583</v>
      </c>
      <c r="D31" s="4">
        <v>65</v>
      </c>
      <c r="E31" s="4">
        <v>67</v>
      </c>
      <c r="F31" s="4" t="s">
        <v>57</v>
      </c>
      <c r="G31" s="6">
        <f>IFERROR(SUMIF(WBS!$D$5:$D$137,A31,WBS!$S$5:$S$137)/SUMIF(WBS!$D$5:$D$137,A31,WBS!$R$5:$R$137),0)</f>
        <v>0</v>
      </c>
      <c r="H31" s="6">
        <f>IFERROR(SUMIF(WBS!$D$5:$D$137,A31,WBS!$T$5:$T$137)/SUMIF(WBS!$D$5:$D$137,A31,WBS!$R$5:$R$137),0)</f>
        <v>0</v>
      </c>
      <c r="I31" s="6">
        <f t="shared" si="0"/>
        <v>0</v>
      </c>
      <c r="J31" s="4">
        <v>3</v>
      </c>
      <c r="K31" s="4">
        <f>COUNTIFS(WBS!$D$5:$D$137,A31,WBS!$U$5:$U$137,"Complete")</f>
        <v>0</v>
      </c>
      <c r="L31" s="4" t="str">
        <f>IF(H31&gt;=1,"Complete",IF(H31&gt;0,"In Progress",IF(Control!$B$7&lt;D31,"Not Started",IF(Control!$B$7&gt;E31,"Late","Ready"))))</f>
        <v>Not Started</v>
      </c>
    </row>
    <row r="32" spans="1:12">
      <c r="A32" s="4" t="s">
        <v>596</v>
      </c>
      <c r="B32" s="4" t="s">
        <v>33</v>
      </c>
      <c r="C32" s="4" t="s">
        <v>597</v>
      </c>
      <c r="D32" s="4">
        <v>68</v>
      </c>
      <c r="E32" s="4">
        <v>68</v>
      </c>
      <c r="F32" s="4" t="s">
        <v>57</v>
      </c>
      <c r="G32" s="6">
        <f>IFERROR(SUMIF(WBS!$D$5:$D$137,A32,WBS!$S$5:$S$137)/SUMIF(WBS!$D$5:$D$137,A32,WBS!$R$5:$R$137),0)</f>
        <v>0</v>
      </c>
      <c r="H32" s="6">
        <f>IFERROR(SUMIF(WBS!$D$5:$D$137,A32,WBS!$T$5:$T$137)/SUMIF(WBS!$D$5:$D$137,A32,WBS!$R$5:$R$137),0)</f>
        <v>0</v>
      </c>
      <c r="I32" s="6">
        <f t="shared" si="0"/>
        <v>0</v>
      </c>
      <c r="J32" s="4">
        <v>2</v>
      </c>
      <c r="K32" s="4">
        <f>COUNTIFS(WBS!$D$5:$D$137,A32,WBS!$U$5:$U$137,"Complete")</f>
        <v>0</v>
      </c>
      <c r="L32" s="4" t="str">
        <f>IF(H32&gt;=1,"Complete",IF(H32&gt;0,"In Progress",IF(Control!$B$7&lt;D32,"Not Started",IF(Control!$B$7&gt;E32,"Late","Ready"))))</f>
        <v>Not Started</v>
      </c>
    </row>
    <row r="33" spans="1:12">
      <c r="A33" s="4" t="s">
        <v>606</v>
      </c>
      <c r="B33" s="4" t="s">
        <v>33</v>
      </c>
      <c r="C33" s="4" t="s">
        <v>607</v>
      </c>
      <c r="D33" s="4">
        <v>69</v>
      </c>
      <c r="E33" s="4">
        <v>70</v>
      </c>
      <c r="F33" s="4" t="s">
        <v>57</v>
      </c>
      <c r="G33" s="6">
        <f>IFERROR(SUMIF(WBS!$D$5:$D$137,A33,WBS!$S$5:$S$137)/SUMIF(WBS!$D$5:$D$137,A33,WBS!$R$5:$R$137),0)</f>
        <v>0</v>
      </c>
      <c r="H33" s="6">
        <f>IFERROR(SUMIF(WBS!$D$5:$D$137,A33,WBS!$T$5:$T$137)/SUMIF(WBS!$D$5:$D$137,A33,WBS!$R$5:$R$137),0)</f>
        <v>0</v>
      </c>
      <c r="I33" s="6">
        <f t="shared" si="0"/>
        <v>0</v>
      </c>
      <c r="J33" s="4">
        <v>3</v>
      </c>
      <c r="K33" s="4">
        <f>COUNTIFS(WBS!$D$5:$D$137,A33,WBS!$U$5:$U$137,"Complete")</f>
        <v>0</v>
      </c>
      <c r="L33" s="4" t="str">
        <f>IF(H33&gt;=1,"Complete",IF(H33&gt;0,"In Progress",IF(Control!$B$7&lt;D33,"Not Started",IF(Control!$B$7&gt;E33,"Late","Ready"))))</f>
        <v>Not Started</v>
      </c>
    </row>
    <row r="34" spans="1:12">
      <c r="A34" s="4" t="s">
        <v>622</v>
      </c>
      <c r="B34" s="4" t="s">
        <v>36</v>
      </c>
      <c r="C34" s="4" t="s">
        <v>623</v>
      </c>
      <c r="D34" s="4">
        <v>71</v>
      </c>
      <c r="E34" s="4">
        <v>73</v>
      </c>
      <c r="F34" s="4" t="s">
        <v>57</v>
      </c>
      <c r="G34" s="6">
        <f>IFERROR(SUMIF(WBS!$D$5:$D$137,A34,WBS!$S$5:$S$137)/SUMIF(WBS!$D$5:$D$137,A34,WBS!$R$5:$R$137),0)</f>
        <v>0</v>
      </c>
      <c r="H34" s="6">
        <f>IFERROR(SUMIF(WBS!$D$5:$D$137,A34,WBS!$T$5:$T$137)/SUMIF(WBS!$D$5:$D$137,A34,WBS!$R$5:$R$137),0)</f>
        <v>0</v>
      </c>
      <c r="I34" s="6">
        <f t="shared" si="0"/>
        <v>0</v>
      </c>
      <c r="J34" s="4">
        <v>3</v>
      </c>
      <c r="K34" s="4">
        <f>COUNTIFS(WBS!$D$5:$D$137,A34,WBS!$U$5:$U$137,"Complete")</f>
        <v>0</v>
      </c>
      <c r="L34" s="4" t="str">
        <f>IF(H34&gt;=1,"Complete",IF(H34&gt;0,"In Progress",IF(Control!$B$7&lt;D34,"Not Started",IF(Control!$B$7&gt;E34,"Late","Ready"))))</f>
        <v>Not Started</v>
      </c>
    </row>
    <row r="35" spans="1:12">
      <c r="A35" s="4" t="s">
        <v>636</v>
      </c>
      <c r="B35" s="4" t="s">
        <v>36</v>
      </c>
      <c r="C35" s="4" t="s">
        <v>637</v>
      </c>
      <c r="D35" s="4">
        <v>73</v>
      </c>
      <c r="E35" s="4">
        <v>74</v>
      </c>
      <c r="F35" s="4" t="s">
        <v>57</v>
      </c>
      <c r="G35" s="6">
        <f>IFERROR(SUMIF(WBS!$D$5:$D$137,A35,WBS!$S$5:$S$137)/SUMIF(WBS!$D$5:$D$137,A35,WBS!$R$5:$R$137),0)</f>
        <v>0</v>
      </c>
      <c r="H35" s="6">
        <f>IFERROR(SUMIF(WBS!$D$5:$D$137,A35,WBS!$T$5:$T$137)/SUMIF(WBS!$D$5:$D$137,A35,WBS!$R$5:$R$137),0)</f>
        <v>0</v>
      </c>
      <c r="I35" s="6">
        <f t="shared" si="0"/>
        <v>0</v>
      </c>
      <c r="J35" s="4">
        <v>3</v>
      </c>
      <c r="K35" s="4">
        <f>COUNTIFS(WBS!$D$5:$D$137,A35,WBS!$U$5:$U$137,"Complete")</f>
        <v>0</v>
      </c>
      <c r="L35" s="4" t="str">
        <f>IF(H35&gt;=1,"Complete",IF(H35&gt;0,"In Progress",IF(Control!$B$7&lt;D35,"Not Started",IF(Control!$B$7&gt;E35,"Late","Ready"))))</f>
        <v>Not Started</v>
      </c>
    </row>
    <row r="36" spans="1:12">
      <c r="A36" s="4" t="s">
        <v>651</v>
      </c>
      <c r="B36" s="4" t="s">
        <v>36</v>
      </c>
      <c r="C36" s="4" t="s">
        <v>652</v>
      </c>
      <c r="D36" s="4">
        <v>75</v>
      </c>
      <c r="E36" s="4">
        <v>75</v>
      </c>
      <c r="F36" s="4" t="s">
        <v>57</v>
      </c>
      <c r="G36" s="6">
        <f>IFERROR(SUMIF(WBS!$D$5:$D$137,A36,WBS!$S$5:$S$137)/SUMIF(WBS!$D$5:$D$137,A36,WBS!$R$5:$R$137),0)</f>
        <v>0</v>
      </c>
      <c r="H36" s="6">
        <f>IFERROR(SUMIF(WBS!$D$5:$D$137,A36,WBS!$T$5:$T$137)/SUMIF(WBS!$D$5:$D$137,A36,WBS!$R$5:$R$137),0)</f>
        <v>0</v>
      </c>
      <c r="I36" s="6">
        <f t="shared" si="0"/>
        <v>0</v>
      </c>
      <c r="J36" s="4">
        <v>2</v>
      </c>
      <c r="K36" s="4">
        <f>COUNTIFS(WBS!$D$5:$D$137,A36,WBS!$U$5:$U$137,"Complete")</f>
        <v>0</v>
      </c>
      <c r="L36" s="4" t="str">
        <f>IF(H36&gt;=1,"Complete",IF(H36&gt;0,"In Progress",IF(Control!$B$7&lt;D36,"Not Started",IF(Control!$B$7&gt;E36,"Late","Ready"))))</f>
        <v>Not Started</v>
      </c>
    </row>
    <row r="37" spans="1:12">
      <c r="A37" s="4" t="s">
        <v>661</v>
      </c>
      <c r="B37" s="4" t="s">
        <v>36</v>
      </c>
      <c r="C37" s="4" t="s">
        <v>662</v>
      </c>
      <c r="D37" s="4">
        <v>76</v>
      </c>
      <c r="E37" s="4">
        <v>78</v>
      </c>
      <c r="F37" s="4" t="s">
        <v>57</v>
      </c>
      <c r="G37" s="6">
        <f>IFERROR(SUMIF(WBS!$D$5:$D$137,A37,WBS!$S$5:$S$137)/SUMIF(WBS!$D$5:$D$137,A37,WBS!$R$5:$R$137),0)</f>
        <v>0</v>
      </c>
      <c r="H37" s="6">
        <f>IFERROR(SUMIF(WBS!$D$5:$D$137,A37,WBS!$T$5:$T$137)/SUMIF(WBS!$D$5:$D$137,A37,WBS!$R$5:$R$137),0)</f>
        <v>0</v>
      </c>
      <c r="I37" s="6">
        <f t="shared" si="0"/>
        <v>0</v>
      </c>
      <c r="J37" s="4">
        <v>4</v>
      </c>
      <c r="K37" s="4">
        <f>COUNTIFS(WBS!$D$5:$D$137,A37,WBS!$U$5:$U$137,"Complete")</f>
        <v>0</v>
      </c>
      <c r="L37" s="4" t="str">
        <f>IF(H37&gt;=1,"Complete",IF(H37&gt;0,"In Progress",IF(Control!$B$7&lt;D37,"Not Started",IF(Control!$B$7&gt;E37,"Late","Ready"))))</f>
        <v>Not Started</v>
      </c>
    </row>
    <row r="38" spans="1:12">
      <c r="A38" s="4" t="s">
        <v>679</v>
      </c>
      <c r="B38" s="4" t="s">
        <v>39</v>
      </c>
      <c r="C38" s="4" t="s">
        <v>680</v>
      </c>
      <c r="D38" s="4">
        <v>79</v>
      </c>
      <c r="E38" s="4">
        <v>80</v>
      </c>
      <c r="F38" s="4" t="s">
        <v>57</v>
      </c>
      <c r="G38" s="6">
        <f>IFERROR(SUMIF(WBS!$D$5:$D$137,A38,WBS!$S$5:$S$137)/SUMIF(WBS!$D$5:$D$137,A38,WBS!$R$5:$R$137),0)</f>
        <v>0</v>
      </c>
      <c r="H38" s="6">
        <f>IFERROR(SUMIF(WBS!$D$5:$D$137,A38,WBS!$T$5:$T$137)/SUMIF(WBS!$D$5:$D$137,A38,WBS!$R$5:$R$137),0)</f>
        <v>0</v>
      </c>
      <c r="I38" s="6">
        <f t="shared" si="0"/>
        <v>0</v>
      </c>
      <c r="J38" s="4">
        <v>2</v>
      </c>
      <c r="K38" s="4">
        <f>COUNTIFS(WBS!$D$5:$D$137,A38,WBS!$U$5:$U$137,"Complete")</f>
        <v>0</v>
      </c>
      <c r="L38" s="4" t="str">
        <f>IF(H38&gt;=1,"Complete",IF(H38&gt;0,"In Progress",IF(Control!$B$7&lt;D38,"Not Started",IF(Control!$B$7&gt;E38,"Late","Ready"))))</f>
        <v>Not Started</v>
      </c>
    </row>
    <row r="39" spans="1:12">
      <c r="A39" s="4" t="s">
        <v>689</v>
      </c>
      <c r="B39" s="4" t="s">
        <v>39</v>
      </c>
      <c r="C39" s="4" t="s">
        <v>690</v>
      </c>
      <c r="D39" s="4">
        <v>79</v>
      </c>
      <c r="E39" s="4">
        <v>90</v>
      </c>
      <c r="F39" s="4" t="s">
        <v>57</v>
      </c>
      <c r="G39" s="6">
        <f>IFERROR(SUMIF(WBS!$D$5:$D$137,A39,WBS!$S$5:$S$137)/SUMIF(WBS!$D$5:$D$137,A39,WBS!$R$5:$R$137),0)</f>
        <v>0</v>
      </c>
      <c r="H39" s="6">
        <f>IFERROR(SUMIF(WBS!$D$5:$D$137,A39,WBS!$T$5:$T$137)/SUMIF(WBS!$D$5:$D$137,A39,WBS!$R$5:$R$137),0)</f>
        <v>0</v>
      </c>
      <c r="I39" s="6">
        <f t="shared" si="0"/>
        <v>0</v>
      </c>
      <c r="J39" s="4">
        <v>3</v>
      </c>
      <c r="K39" s="4">
        <f>COUNTIFS(WBS!$D$5:$D$137,A39,WBS!$U$5:$U$137,"Complete")</f>
        <v>0</v>
      </c>
      <c r="L39" s="4" t="str">
        <f>IF(H39&gt;=1,"Complete",IF(H39&gt;0,"In Progress",IF(Control!$B$7&lt;D39,"Not Started",IF(Control!$B$7&gt;E39,"Late","Ready"))))</f>
        <v>Not Started</v>
      </c>
    </row>
    <row r="40" spans="1:12">
      <c r="A40" s="4" t="s">
        <v>703</v>
      </c>
      <c r="B40" s="4" t="s">
        <v>39</v>
      </c>
      <c r="C40" s="4" t="s">
        <v>704</v>
      </c>
      <c r="D40" s="4">
        <v>79</v>
      </c>
      <c r="E40" s="4">
        <v>84</v>
      </c>
      <c r="F40" s="4" t="s">
        <v>57</v>
      </c>
      <c r="G40" s="6">
        <f>IFERROR(SUMIF(WBS!$D$5:$D$137,A40,WBS!$S$5:$S$137)/SUMIF(WBS!$D$5:$D$137,A40,WBS!$R$5:$R$137),0)</f>
        <v>0</v>
      </c>
      <c r="H40" s="6">
        <f>IFERROR(SUMIF(WBS!$D$5:$D$137,A40,WBS!$T$5:$T$137)/SUMIF(WBS!$D$5:$D$137,A40,WBS!$R$5:$R$137),0)</f>
        <v>0</v>
      </c>
      <c r="I40" s="6">
        <f t="shared" si="0"/>
        <v>0</v>
      </c>
      <c r="J40" s="4">
        <v>3</v>
      </c>
      <c r="K40" s="4">
        <f>COUNTIFS(WBS!$D$5:$D$137,A40,WBS!$U$5:$U$137,"Complete")</f>
        <v>0</v>
      </c>
      <c r="L40" s="4" t="str">
        <f>IF(H40&gt;=1,"Complete",IF(H40&gt;0,"In Progress",IF(Control!$B$7&lt;D40,"Not Started",IF(Control!$B$7&gt;E40,"Late","Ready"))))</f>
        <v>Not Started</v>
      </c>
    </row>
    <row r="41" spans="1:12">
      <c r="A41" s="4" t="s">
        <v>718</v>
      </c>
      <c r="B41" s="4" t="s">
        <v>39</v>
      </c>
      <c r="C41" s="4" t="s">
        <v>719</v>
      </c>
      <c r="D41" s="4">
        <v>85</v>
      </c>
      <c r="E41" s="4">
        <v>86</v>
      </c>
      <c r="F41" s="4" t="s">
        <v>57</v>
      </c>
      <c r="G41" s="6">
        <f>IFERROR(SUMIF(WBS!$D$5:$D$137,A41,WBS!$S$5:$S$137)/SUMIF(WBS!$D$5:$D$137,A41,WBS!$R$5:$R$137),0)</f>
        <v>0</v>
      </c>
      <c r="H41" s="6">
        <f>IFERROR(SUMIF(WBS!$D$5:$D$137,A41,WBS!$T$5:$T$137)/SUMIF(WBS!$D$5:$D$137,A41,WBS!$R$5:$R$137),0)</f>
        <v>0</v>
      </c>
      <c r="I41" s="6">
        <f t="shared" si="0"/>
        <v>0</v>
      </c>
      <c r="J41" s="4">
        <v>2</v>
      </c>
      <c r="K41" s="4">
        <f>COUNTIFS(WBS!$D$5:$D$137,A41,WBS!$U$5:$U$137,"Complete")</f>
        <v>0</v>
      </c>
      <c r="L41" s="4" t="str">
        <f>IF(H41&gt;=1,"Complete",IF(H41&gt;0,"In Progress",IF(Control!$B$7&lt;D41,"Not Started",IF(Control!$B$7&gt;E41,"Late","Ready"))))</f>
        <v>Not Started</v>
      </c>
    </row>
    <row r="42" spans="1:12">
      <c r="A42" s="4" t="s">
        <v>728</v>
      </c>
      <c r="B42" s="4" t="s">
        <v>39</v>
      </c>
      <c r="C42" s="4" t="s">
        <v>729</v>
      </c>
      <c r="D42" s="4">
        <v>87</v>
      </c>
      <c r="E42" s="4">
        <v>88</v>
      </c>
      <c r="F42" s="4" t="s">
        <v>57</v>
      </c>
      <c r="G42" s="6">
        <f>IFERROR(SUMIF(WBS!$D$5:$D$137,A42,WBS!$S$5:$S$137)/SUMIF(WBS!$D$5:$D$137,A42,WBS!$R$5:$R$137),0)</f>
        <v>0</v>
      </c>
      <c r="H42" s="6">
        <f>IFERROR(SUMIF(WBS!$D$5:$D$137,A42,WBS!$T$5:$T$137)/SUMIF(WBS!$D$5:$D$137,A42,WBS!$R$5:$R$137),0)</f>
        <v>0</v>
      </c>
      <c r="I42" s="6">
        <f t="shared" si="0"/>
        <v>0</v>
      </c>
      <c r="J42" s="4">
        <v>2</v>
      </c>
      <c r="K42" s="4">
        <f>COUNTIFS(WBS!$D$5:$D$137,A42,WBS!$U$5:$U$137,"Complete")</f>
        <v>0</v>
      </c>
      <c r="L42" s="4" t="str">
        <f>IF(H42&gt;=1,"Complete",IF(H42&gt;0,"In Progress",IF(Control!$B$7&lt;D42,"Not Started",IF(Control!$B$7&gt;E42,"Late","Ready"))))</f>
        <v>Not Started</v>
      </c>
    </row>
    <row r="43" spans="1:12">
      <c r="A43" s="4" t="s">
        <v>738</v>
      </c>
      <c r="B43" s="4" t="s">
        <v>39</v>
      </c>
      <c r="C43" s="4" t="s">
        <v>739</v>
      </c>
      <c r="D43" s="4">
        <v>89</v>
      </c>
      <c r="E43" s="4">
        <v>90</v>
      </c>
      <c r="F43" s="4" t="s">
        <v>57</v>
      </c>
      <c r="G43" s="6">
        <f>IFERROR(SUMIF(WBS!$D$5:$D$137,A43,WBS!$S$5:$S$137)/SUMIF(WBS!$D$5:$D$137,A43,WBS!$R$5:$R$137),0)</f>
        <v>0</v>
      </c>
      <c r="H43" s="6">
        <f>IFERROR(SUMIF(WBS!$D$5:$D$137,A43,WBS!$T$5:$T$137)/SUMIF(WBS!$D$5:$D$137,A43,WBS!$R$5:$R$137),0)</f>
        <v>0</v>
      </c>
      <c r="I43" s="6">
        <f t="shared" si="0"/>
        <v>0</v>
      </c>
      <c r="J43" s="4">
        <v>2</v>
      </c>
      <c r="K43" s="4">
        <f>COUNTIFS(WBS!$D$5:$D$137,A43,WBS!$U$5:$U$137,"Complete")</f>
        <v>0</v>
      </c>
      <c r="L43" s="4" t="str">
        <f>IF(H43&gt;=1,"Complete",IF(H43&gt;0,"In Progress",IF(Control!$B$7&lt;D43,"Not Started",IF(Control!$B$7&gt;E43,"Late","Ready"))))</f>
        <v>Not Started</v>
      </c>
    </row>
  </sheetData>
  <mergeCells count="1">
    <mergeCell ref="A1:L1"/>
  </mergeCells>
  <conditionalFormatting sqref="H4:H43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{AD83FEA1-1E63-DAB2-4B99-051C2DBA3A1A}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83FEA1-1E63-DAB2-4B99-051C2DBA3A1A}">
            <x14:dataBar>
              <x14:cfvo type="min"/>
              <x14:cfvo type="max"/>
              <x14:negativeFillColor auto="1"/>
              <x14:axisColor auto="1"/>
            </x14:dataBar>
          </x14:cfRule>
          <xm:sqref>H4:H43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"/>
  <sheetViews>
    <sheetView topLeftCell="D1" workbookViewId="0">
      <selection activeCell="G4" sqref="G4"/>
    </sheetView>
  </sheetViews>
  <sheetFormatPr defaultRowHeight="14.25"/>
  <cols>
    <col min="1" max="1" width="5.75" style="4" bestFit="1" customWidth="1"/>
    <col min="2" max="2" width="10.5" style="4" bestFit="1" customWidth="1"/>
    <col min="3" max="3" width="11.625" style="4" bestFit="1" customWidth="1"/>
    <col min="4" max="4" width="19.625" style="4" bestFit="1" customWidth="1"/>
    <col min="5" max="5" width="90.125" style="4" bestFit="1" customWidth="1"/>
    <col min="6" max="6" width="48.125" style="4" bestFit="1" customWidth="1"/>
    <col min="7" max="7" width="39.875" style="4" bestFit="1" customWidth="1"/>
    <col min="8" max="8" width="13.125" style="4" bestFit="1" customWidth="1"/>
    <col min="9" max="9" width="15.25" style="4" bestFit="1" customWidth="1"/>
    <col min="10" max="16384" width="9" style="4"/>
  </cols>
  <sheetData>
    <row r="1" spans="1:9" ht="19.5">
      <c r="A1" s="27" t="s">
        <v>751</v>
      </c>
      <c r="B1" s="27"/>
      <c r="C1" s="27"/>
      <c r="D1" s="27"/>
      <c r="E1" s="27"/>
      <c r="F1" s="27"/>
      <c r="G1" s="27"/>
      <c r="H1" s="27"/>
      <c r="I1" s="27"/>
    </row>
    <row r="3" spans="1:9" ht="30">
      <c r="A3" s="2" t="s">
        <v>752</v>
      </c>
      <c r="B3" s="2" t="s">
        <v>753</v>
      </c>
      <c r="C3" s="2" t="s">
        <v>754</v>
      </c>
      <c r="D3" s="2" t="s">
        <v>755</v>
      </c>
      <c r="E3" s="2" t="s">
        <v>756</v>
      </c>
      <c r="F3" s="2" t="s">
        <v>757</v>
      </c>
      <c r="G3" s="2" t="s">
        <v>758</v>
      </c>
      <c r="H3" s="2" t="s">
        <v>759</v>
      </c>
      <c r="I3" s="2" t="s">
        <v>760</v>
      </c>
    </row>
    <row r="4" spans="1:9" ht="42.75">
      <c r="A4" s="4">
        <v>1</v>
      </c>
      <c r="B4" s="5">
        <v>46216</v>
      </c>
      <c r="C4" s="5">
        <v>46222</v>
      </c>
      <c r="D4" s="4" t="s">
        <v>761</v>
      </c>
      <c r="E4" s="4" t="s">
        <v>762</v>
      </c>
      <c r="F4" s="4" t="s">
        <v>763</v>
      </c>
      <c r="H4" s="6">
        <v>1.0899182561307902E-2</v>
      </c>
      <c r="I4" s="6">
        <f>IF(A4=Control!$B$7,Control!$B$11,"")</f>
        <v>0.11553133514986372</v>
      </c>
    </row>
    <row r="5" spans="1:9" ht="42.75">
      <c r="A5" s="4">
        <v>2</v>
      </c>
      <c r="B5" s="5">
        <v>46223</v>
      </c>
      <c r="C5" s="5">
        <v>46229</v>
      </c>
      <c r="D5" s="4" t="s">
        <v>764</v>
      </c>
      <c r="E5" s="4" t="s">
        <v>765</v>
      </c>
      <c r="F5" s="4" t="s">
        <v>766</v>
      </c>
      <c r="H5" s="6">
        <v>2.7247956403269755E-2</v>
      </c>
      <c r="I5" s="6" t="str">
        <f>IF(A5=Control!$B$7,Control!$B$11,"")</f>
        <v/>
      </c>
    </row>
    <row r="6" spans="1:9" ht="57">
      <c r="A6" s="4">
        <v>3</v>
      </c>
      <c r="B6" s="5">
        <v>46230</v>
      </c>
      <c r="C6" s="5">
        <v>46236</v>
      </c>
      <c r="D6" s="4" t="s">
        <v>767</v>
      </c>
      <c r="E6" s="4" t="s">
        <v>768</v>
      </c>
      <c r="F6" s="4" t="s">
        <v>769</v>
      </c>
      <c r="H6" s="6">
        <v>4.3596730245231599E-2</v>
      </c>
      <c r="I6" s="6" t="str">
        <f>IF(A6=Control!$B$7,Control!$B$11,"")</f>
        <v/>
      </c>
    </row>
    <row r="7" spans="1:9" ht="57">
      <c r="A7" s="4">
        <v>4</v>
      </c>
      <c r="B7" s="5">
        <v>46237</v>
      </c>
      <c r="C7" s="5">
        <v>46243</v>
      </c>
      <c r="D7" s="4" t="s">
        <v>770</v>
      </c>
      <c r="E7" s="4" t="s">
        <v>771</v>
      </c>
      <c r="F7" s="4" t="s">
        <v>772</v>
      </c>
      <c r="H7" s="6">
        <v>5.9945504087193451E-2</v>
      </c>
      <c r="I7" s="6" t="str">
        <f>IF(A7=Control!$B$7,Control!$B$11,"")</f>
        <v/>
      </c>
    </row>
    <row r="8" spans="1:9" ht="42.75">
      <c r="A8" s="4">
        <v>5</v>
      </c>
      <c r="B8" s="5">
        <v>46244</v>
      </c>
      <c r="C8" s="5">
        <v>46250</v>
      </c>
      <c r="D8" s="4" t="s">
        <v>773</v>
      </c>
      <c r="E8" s="4" t="s">
        <v>774</v>
      </c>
      <c r="F8" s="4" t="s">
        <v>775</v>
      </c>
      <c r="H8" s="6">
        <v>7.0844686648501354E-2</v>
      </c>
      <c r="I8" s="6" t="str">
        <f>IF(A8=Control!$B$7,Control!$B$11,"")</f>
        <v/>
      </c>
    </row>
    <row r="9" spans="1:9" ht="43.5">
      <c r="A9" s="4">
        <v>6</v>
      </c>
      <c r="B9" s="5">
        <v>46251</v>
      </c>
      <c r="C9" s="5">
        <v>46257</v>
      </c>
      <c r="D9" s="4" t="s">
        <v>776</v>
      </c>
      <c r="E9" s="4" t="s">
        <v>777</v>
      </c>
      <c r="F9" s="4" t="s">
        <v>778</v>
      </c>
      <c r="G9" s="4" t="s">
        <v>779</v>
      </c>
      <c r="H9" s="6">
        <v>8.2833787465940042E-2</v>
      </c>
      <c r="I9" s="6" t="str">
        <f>IF(A9=Control!$B$7,Control!$B$11,"")</f>
        <v/>
      </c>
    </row>
    <row r="10" spans="1:9" ht="28.5">
      <c r="A10" s="4">
        <v>7</v>
      </c>
      <c r="B10" s="5">
        <v>46258</v>
      </c>
      <c r="C10" s="5">
        <v>46264</v>
      </c>
      <c r="D10" s="4" t="s">
        <v>780</v>
      </c>
      <c r="E10" s="4" t="s">
        <v>781</v>
      </c>
      <c r="F10" s="4" t="s">
        <v>782</v>
      </c>
      <c r="H10" s="6">
        <v>9.3732970027247939E-2</v>
      </c>
      <c r="I10" s="6" t="str">
        <f>IF(A10=Control!$B$7,Control!$B$11,"")</f>
        <v/>
      </c>
    </row>
    <row r="11" spans="1:9" ht="57">
      <c r="A11" s="4">
        <v>8</v>
      </c>
      <c r="B11" s="5">
        <v>46265</v>
      </c>
      <c r="C11" s="5">
        <v>46271</v>
      </c>
      <c r="D11" s="4" t="s">
        <v>783</v>
      </c>
      <c r="E11" s="4" t="s">
        <v>784</v>
      </c>
      <c r="F11" s="4" t="s">
        <v>785</v>
      </c>
      <c r="H11" s="6">
        <v>0.11008174386920978</v>
      </c>
      <c r="I11" s="6" t="str">
        <f>IF(A11=Control!$B$7,Control!$B$11,"")</f>
        <v/>
      </c>
    </row>
    <row r="12" spans="1:9" ht="42.75">
      <c r="A12" s="4">
        <v>9</v>
      </c>
      <c r="B12" s="5">
        <v>46272</v>
      </c>
      <c r="C12" s="5">
        <v>46278</v>
      </c>
      <c r="D12" s="4" t="s">
        <v>786</v>
      </c>
      <c r="E12" s="4" t="s">
        <v>787</v>
      </c>
      <c r="F12" s="4" t="s">
        <v>788</v>
      </c>
      <c r="H12" s="6">
        <v>0.12643051771117164</v>
      </c>
      <c r="I12" s="6" t="str">
        <f>IF(A12=Control!$B$7,Control!$B$11,"")</f>
        <v/>
      </c>
    </row>
    <row r="13" spans="1:9" ht="28.5">
      <c r="A13" s="4">
        <v>10</v>
      </c>
      <c r="B13" s="5">
        <v>46279</v>
      </c>
      <c r="C13" s="5">
        <v>46285</v>
      </c>
      <c r="D13" s="4" t="s">
        <v>789</v>
      </c>
      <c r="E13" s="4" t="s">
        <v>790</v>
      </c>
      <c r="F13" s="4" t="s">
        <v>791</v>
      </c>
      <c r="H13" s="6">
        <v>0.13732970027247954</v>
      </c>
      <c r="I13" s="6" t="str">
        <f>IF(A13=Control!$B$7,Control!$B$11,"")</f>
        <v/>
      </c>
    </row>
    <row r="14" spans="1:9" ht="42.75">
      <c r="A14" s="4">
        <v>11</v>
      </c>
      <c r="B14" s="5">
        <v>46286</v>
      </c>
      <c r="C14" s="5">
        <v>46292</v>
      </c>
      <c r="D14" s="4" t="s">
        <v>792</v>
      </c>
      <c r="E14" s="4" t="s">
        <v>793</v>
      </c>
      <c r="F14" s="4" t="s">
        <v>794</v>
      </c>
      <c r="H14" s="6">
        <v>0.15367847411444138</v>
      </c>
      <c r="I14" s="6" t="str">
        <f>IF(A14=Control!$B$7,Control!$B$11,"")</f>
        <v/>
      </c>
    </row>
    <row r="15" spans="1:9" ht="43.5">
      <c r="A15" s="4">
        <v>12</v>
      </c>
      <c r="B15" s="5">
        <v>46293</v>
      </c>
      <c r="C15" s="5">
        <v>46299</v>
      </c>
      <c r="D15" s="4" t="s">
        <v>795</v>
      </c>
      <c r="E15" s="4" t="s">
        <v>796</v>
      </c>
      <c r="F15" s="4" t="s">
        <v>797</v>
      </c>
      <c r="G15" s="4" t="s">
        <v>798</v>
      </c>
      <c r="H15" s="6">
        <v>0.17111716621253403</v>
      </c>
      <c r="I15" s="6" t="str">
        <f>IF(A15=Control!$B$7,Control!$B$11,"")</f>
        <v/>
      </c>
    </row>
    <row r="16" spans="1:9" ht="28.5">
      <c r="A16" s="4">
        <v>13</v>
      </c>
      <c r="B16" s="5">
        <v>46300</v>
      </c>
      <c r="C16" s="5">
        <v>46306</v>
      </c>
      <c r="D16" s="4" t="s">
        <v>799</v>
      </c>
      <c r="E16" s="4" t="s">
        <v>800</v>
      </c>
      <c r="F16" s="4" t="s">
        <v>801</v>
      </c>
      <c r="H16" s="6">
        <v>0.18201634877384193</v>
      </c>
      <c r="I16" s="6" t="str">
        <f>IF(A16=Control!$B$7,Control!$B$11,"")</f>
        <v/>
      </c>
    </row>
    <row r="17" spans="1:9" ht="28.5">
      <c r="A17" s="4">
        <v>14</v>
      </c>
      <c r="B17" s="5">
        <v>46307</v>
      </c>
      <c r="C17" s="5">
        <v>46313</v>
      </c>
      <c r="D17" s="4" t="s">
        <v>802</v>
      </c>
      <c r="E17" s="4" t="s">
        <v>803</v>
      </c>
      <c r="F17" s="4" t="s">
        <v>804</v>
      </c>
      <c r="H17" s="6">
        <v>0.19291553133514983</v>
      </c>
      <c r="I17" s="6" t="str">
        <f>IF(A17=Control!$B$7,Control!$B$11,"")</f>
        <v/>
      </c>
    </row>
    <row r="18" spans="1:9" ht="42.75">
      <c r="A18" s="4">
        <v>15</v>
      </c>
      <c r="B18" s="5">
        <v>46314</v>
      </c>
      <c r="C18" s="5">
        <v>46320</v>
      </c>
      <c r="D18" s="4" t="s">
        <v>805</v>
      </c>
      <c r="E18" s="4" t="s">
        <v>806</v>
      </c>
      <c r="F18" s="4" t="s">
        <v>807</v>
      </c>
      <c r="H18" s="6">
        <v>0.20926430517711167</v>
      </c>
      <c r="I18" s="6" t="str">
        <f>IF(A18=Control!$B$7,Control!$B$11,"")</f>
        <v/>
      </c>
    </row>
    <row r="19" spans="1:9" ht="42.75">
      <c r="A19" s="4">
        <v>16</v>
      </c>
      <c r="B19" s="5">
        <v>46321</v>
      </c>
      <c r="C19" s="5">
        <v>46327</v>
      </c>
      <c r="D19" s="4" t="s">
        <v>808</v>
      </c>
      <c r="E19" s="4" t="s">
        <v>809</v>
      </c>
      <c r="F19" s="4" t="s">
        <v>810</v>
      </c>
      <c r="H19" s="6">
        <v>0.22561307901907351</v>
      </c>
      <c r="I19" s="6" t="str">
        <f>IF(A19=Control!$B$7,Control!$B$11,"")</f>
        <v/>
      </c>
    </row>
    <row r="20" spans="1:9" ht="28.5">
      <c r="A20" s="4">
        <v>17</v>
      </c>
      <c r="B20" s="5">
        <v>46328</v>
      </c>
      <c r="C20" s="5">
        <v>46334</v>
      </c>
      <c r="D20" s="4" t="s">
        <v>811</v>
      </c>
      <c r="E20" s="4" t="s">
        <v>812</v>
      </c>
      <c r="F20" s="4" t="s">
        <v>813</v>
      </c>
      <c r="H20" s="6">
        <v>0.23651226158038141</v>
      </c>
      <c r="I20" s="6" t="str">
        <f>IF(A20=Control!$B$7,Control!$B$11,"")</f>
        <v/>
      </c>
    </row>
    <row r="21" spans="1:9" ht="42.75">
      <c r="A21" s="4">
        <v>18</v>
      </c>
      <c r="B21" s="5">
        <v>46335</v>
      </c>
      <c r="C21" s="5">
        <v>46341</v>
      </c>
      <c r="D21" s="4" t="s">
        <v>814</v>
      </c>
      <c r="E21" s="4" t="s">
        <v>815</v>
      </c>
      <c r="F21" s="4" t="s">
        <v>816</v>
      </c>
      <c r="H21" s="6">
        <v>0.25286103542234328</v>
      </c>
      <c r="I21" s="6" t="str">
        <f>IF(A21=Control!$B$7,Control!$B$11,"")</f>
        <v/>
      </c>
    </row>
    <row r="22" spans="1:9" ht="28.5">
      <c r="A22" s="4">
        <v>19</v>
      </c>
      <c r="B22" s="5">
        <v>46342</v>
      </c>
      <c r="C22" s="5">
        <v>46348</v>
      </c>
      <c r="D22" s="4" t="s">
        <v>817</v>
      </c>
      <c r="E22" s="4" t="s">
        <v>818</v>
      </c>
      <c r="F22" s="4" t="s">
        <v>819</v>
      </c>
      <c r="H22" s="6">
        <v>0.26376021798365124</v>
      </c>
      <c r="I22" s="6" t="str">
        <f>IF(A22=Control!$B$7,Control!$B$11,"")</f>
        <v/>
      </c>
    </row>
    <row r="23" spans="1:9" ht="28.5">
      <c r="A23" s="4">
        <v>20</v>
      </c>
      <c r="B23" s="5">
        <v>46349</v>
      </c>
      <c r="C23" s="5">
        <v>46355</v>
      </c>
      <c r="D23" s="4" t="s">
        <v>820</v>
      </c>
      <c r="E23" s="4" t="s">
        <v>821</v>
      </c>
      <c r="F23" s="4" t="s">
        <v>822</v>
      </c>
      <c r="H23" s="6">
        <v>0.27465940054495913</v>
      </c>
      <c r="I23" s="6" t="str">
        <f>IF(A23=Control!$B$7,Control!$B$11,"")</f>
        <v/>
      </c>
    </row>
    <row r="24" spans="1:9" ht="28.5">
      <c r="A24" s="4">
        <v>21</v>
      </c>
      <c r="B24" s="5">
        <v>46356</v>
      </c>
      <c r="C24" s="5">
        <v>46362</v>
      </c>
      <c r="D24" s="4" t="s">
        <v>823</v>
      </c>
      <c r="E24" s="4" t="s">
        <v>824</v>
      </c>
      <c r="F24" s="4" t="s">
        <v>825</v>
      </c>
      <c r="H24" s="6">
        <v>0.28555858310626708</v>
      </c>
      <c r="I24" s="6" t="str">
        <f>IF(A24=Control!$B$7,Control!$B$11,"")</f>
        <v/>
      </c>
    </row>
    <row r="25" spans="1:9" ht="42.75">
      <c r="A25" s="4">
        <v>22</v>
      </c>
      <c r="B25" s="5">
        <v>46363</v>
      </c>
      <c r="C25" s="5">
        <v>46369</v>
      </c>
      <c r="D25" s="4" t="s">
        <v>826</v>
      </c>
      <c r="E25" s="4" t="s">
        <v>827</v>
      </c>
      <c r="F25" s="4" t="s">
        <v>828</v>
      </c>
      <c r="H25" s="6">
        <v>0.30190735694822901</v>
      </c>
      <c r="I25" s="6" t="str">
        <f>IF(A25=Control!$B$7,Control!$B$11,"")</f>
        <v/>
      </c>
    </row>
    <row r="26" spans="1:9" ht="42.75">
      <c r="A26" s="4">
        <v>23</v>
      </c>
      <c r="B26" s="5">
        <v>46370</v>
      </c>
      <c r="C26" s="5">
        <v>46376</v>
      </c>
      <c r="D26" s="4" t="s">
        <v>829</v>
      </c>
      <c r="E26" s="4" t="s">
        <v>830</v>
      </c>
      <c r="F26" s="4" t="s">
        <v>831</v>
      </c>
      <c r="H26" s="6">
        <v>0.31825613079019088</v>
      </c>
      <c r="I26" s="6" t="str">
        <f>IF(A26=Control!$B$7,Control!$B$11,"")</f>
        <v/>
      </c>
    </row>
    <row r="27" spans="1:9" ht="57">
      <c r="A27" s="4">
        <v>24</v>
      </c>
      <c r="B27" s="5">
        <v>46377</v>
      </c>
      <c r="C27" s="5">
        <v>46383</v>
      </c>
      <c r="D27" s="4" t="s">
        <v>832</v>
      </c>
      <c r="E27" s="4" t="s">
        <v>833</v>
      </c>
      <c r="F27" s="4" t="s">
        <v>834</v>
      </c>
      <c r="H27" s="6">
        <v>0.34005449591280668</v>
      </c>
      <c r="I27" s="6" t="str">
        <f>IF(A27=Control!$B$7,Control!$B$11,"")</f>
        <v/>
      </c>
    </row>
    <row r="28" spans="1:9" ht="28.5">
      <c r="A28" s="4">
        <v>25</v>
      </c>
      <c r="B28" s="5">
        <v>46384</v>
      </c>
      <c r="C28" s="5">
        <v>46390</v>
      </c>
      <c r="D28" s="4" t="s">
        <v>835</v>
      </c>
      <c r="E28" s="4" t="s">
        <v>836</v>
      </c>
      <c r="F28" s="4" t="s">
        <v>837</v>
      </c>
      <c r="H28" s="6">
        <v>0.35095367847411457</v>
      </c>
      <c r="I28" s="6" t="str">
        <f>IF(A28=Control!$B$7,Control!$B$11,"")</f>
        <v/>
      </c>
    </row>
    <row r="29" spans="1:9" ht="28.5">
      <c r="A29" s="4">
        <v>26</v>
      </c>
      <c r="B29" s="5">
        <v>46391</v>
      </c>
      <c r="C29" s="5">
        <v>46397</v>
      </c>
      <c r="D29" s="4" t="s">
        <v>838</v>
      </c>
      <c r="E29" s="4" t="s">
        <v>839</v>
      </c>
      <c r="F29" s="4" t="s">
        <v>840</v>
      </c>
      <c r="H29" s="6">
        <v>0.36185286103542252</v>
      </c>
      <c r="I29" s="6" t="str">
        <f>IF(A29=Control!$B$7,Control!$B$11,"")</f>
        <v/>
      </c>
    </row>
    <row r="30" spans="1:9" ht="28.5">
      <c r="A30" s="4">
        <v>27</v>
      </c>
      <c r="B30" s="5">
        <v>46398</v>
      </c>
      <c r="C30" s="5">
        <v>46404</v>
      </c>
      <c r="D30" s="4" t="s">
        <v>841</v>
      </c>
      <c r="E30" s="4" t="s">
        <v>842</v>
      </c>
      <c r="F30" s="4" t="s">
        <v>843</v>
      </c>
      <c r="H30" s="6">
        <v>0.37275204359673042</v>
      </c>
      <c r="I30" s="6" t="str">
        <f>IF(A30=Control!$B$7,Control!$B$11,"")</f>
        <v/>
      </c>
    </row>
    <row r="31" spans="1:9" ht="28.5">
      <c r="A31" s="4">
        <v>28</v>
      </c>
      <c r="B31" s="5">
        <v>46405</v>
      </c>
      <c r="C31" s="5">
        <v>46411</v>
      </c>
      <c r="D31" s="4" t="s">
        <v>844</v>
      </c>
      <c r="E31" s="4" t="s">
        <v>845</v>
      </c>
      <c r="F31" s="4" t="s">
        <v>846</v>
      </c>
      <c r="H31" s="6">
        <v>0.38365122615803832</v>
      </c>
      <c r="I31" s="6" t="str">
        <f>IF(A31=Control!$B$7,Control!$B$11,"")</f>
        <v/>
      </c>
    </row>
    <row r="32" spans="1:9" ht="28.5">
      <c r="A32" s="4">
        <v>29</v>
      </c>
      <c r="B32" s="5">
        <v>46412</v>
      </c>
      <c r="C32" s="5">
        <v>46418</v>
      </c>
      <c r="D32" s="4" t="s">
        <v>847</v>
      </c>
      <c r="E32" s="4" t="s">
        <v>848</v>
      </c>
      <c r="F32" s="4" t="s">
        <v>849</v>
      </c>
      <c r="H32" s="6">
        <v>0.39455040871934627</v>
      </c>
      <c r="I32" s="6" t="str">
        <f>IF(A32=Control!$B$7,Control!$B$11,"")</f>
        <v/>
      </c>
    </row>
    <row r="33" spans="1:9" ht="28.5">
      <c r="A33" s="4">
        <v>30</v>
      </c>
      <c r="B33" s="5">
        <v>46419</v>
      </c>
      <c r="C33" s="5">
        <v>46425</v>
      </c>
      <c r="D33" s="4" t="s">
        <v>850</v>
      </c>
      <c r="E33" s="4" t="s">
        <v>851</v>
      </c>
      <c r="F33" s="4" t="s">
        <v>852</v>
      </c>
      <c r="H33" s="6">
        <v>0.40544959128065416</v>
      </c>
      <c r="I33" s="6" t="str">
        <f>IF(A33=Control!$B$7,Control!$B$11,"")</f>
        <v/>
      </c>
    </row>
    <row r="34" spans="1:9" ht="42.75">
      <c r="A34" s="4">
        <v>31</v>
      </c>
      <c r="B34" s="5">
        <v>46426</v>
      </c>
      <c r="C34" s="5">
        <v>46432</v>
      </c>
      <c r="D34" s="4" t="s">
        <v>853</v>
      </c>
      <c r="E34" s="4" t="s">
        <v>854</v>
      </c>
      <c r="F34" s="4" t="s">
        <v>855</v>
      </c>
      <c r="H34" s="6">
        <v>0.41634877384196206</v>
      </c>
      <c r="I34" s="6" t="str">
        <f>IF(A34=Control!$B$7,Control!$B$11,"")</f>
        <v/>
      </c>
    </row>
    <row r="35" spans="1:9">
      <c r="A35" s="4">
        <v>32</v>
      </c>
      <c r="B35" s="5">
        <v>46433</v>
      </c>
      <c r="C35" s="5">
        <v>46439</v>
      </c>
      <c r="D35" s="4" t="s">
        <v>355</v>
      </c>
      <c r="E35" s="4" t="s">
        <v>856</v>
      </c>
      <c r="H35" s="6">
        <v>0.42343324250681219</v>
      </c>
      <c r="I35" s="6" t="str">
        <f>IF(A35=Control!$B$7,Control!$B$11,"")</f>
        <v/>
      </c>
    </row>
    <row r="36" spans="1:9" ht="30">
      <c r="A36" s="4">
        <v>33</v>
      </c>
      <c r="B36" s="5">
        <v>46440</v>
      </c>
      <c r="C36" s="5">
        <v>46446</v>
      </c>
      <c r="D36" s="4" t="s">
        <v>857</v>
      </c>
      <c r="E36" s="4" t="s">
        <v>858</v>
      </c>
      <c r="F36" s="4" t="s">
        <v>859</v>
      </c>
      <c r="G36" s="4" t="s">
        <v>860</v>
      </c>
      <c r="H36" s="6">
        <v>0.43760217983651245</v>
      </c>
      <c r="I36" s="6" t="str">
        <f>IF(A36=Control!$B$7,Control!$B$11,"")</f>
        <v/>
      </c>
    </row>
    <row r="37" spans="1:9" ht="30">
      <c r="A37" s="4">
        <v>34</v>
      </c>
      <c r="B37" s="5">
        <v>46447</v>
      </c>
      <c r="C37" s="5">
        <v>46453</v>
      </c>
      <c r="D37" s="4" t="s">
        <v>360</v>
      </c>
      <c r="E37" s="4" t="s">
        <v>861</v>
      </c>
      <c r="F37" s="4" t="s">
        <v>862</v>
      </c>
      <c r="G37" s="4" t="s">
        <v>863</v>
      </c>
      <c r="H37" s="6">
        <v>0.44468664850136258</v>
      </c>
      <c r="I37" s="6" t="str">
        <f>IF(A37=Control!$B$7,Control!$B$11,"")</f>
        <v/>
      </c>
    </row>
    <row r="38" spans="1:9" ht="28.5">
      <c r="A38" s="4">
        <v>35</v>
      </c>
      <c r="B38" s="5">
        <v>46454</v>
      </c>
      <c r="C38" s="5">
        <v>46460</v>
      </c>
      <c r="D38" s="4" t="s">
        <v>864</v>
      </c>
      <c r="E38" s="4" t="s">
        <v>865</v>
      </c>
      <c r="F38" s="4" t="s">
        <v>866</v>
      </c>
      <c r="H38" s="6">
        <v>0.45558583106267053</v>
      </c>
      <c r="I38" s="6" t="str">
        <f>IF(A38=Control!$B$7,Control!$B$11,"")</f>
        <v/>
      </c>
    </row>
    <row r="39" spans="1:9" ht="28.5">
      <c r="A39" s="4">
        <v>36</v>
      </c>
      <c r="B39" s="5">
        <v>46461</v>
      </c>
      <c r="C39" s="5">
        <v>46467</v>
      </c>
      <c r="D39" s="4" t="s">
        <v>867</v>
      </c>
      <c r="E39" s="4" t="s">
        <v>868</v>
      </c>
      <c r="F39" s="4" t="s">
        <v>869</v>
      </c>
      <c r="H39" s="6">
        <v>0.46648501362397843</v>
      </c>
      <c r="I39" s="6" t="str">
        <f>IF(A39=Control!$B$7,Control!$B$11,"")</f>
        <v/>
      </c>
    </row>
    <row r="40" spans="1:9">
      <c r="A40" s="4">
        <v>37</v>
      </c>
      <c r="B40" s="5">
        <v>46468</v>
      </c>
      <c r="C40" s="5">
        <v>46474</v>
      </c>
      <c r="D40" s="4" t="s">
        <v>374</v>
      </c>
      <c r="E40" s="4" t="s">
        <v>870</v>
      </c>
      <c r="F40" s="4" t="s">
        <v>871</v>
      </c>
      <c r="H40" s="6">
        <v>0.4719346049046324</v>
      </c>
      <c r="I40" s="6" t="str">
        <f>IF(A40=Control!$B$7,Control!$B$11,"")</f>
        <v/>
      </c>
    </row>
    <row r="41" spans="1:9" ht="28.5">
      <c r="A41" s="4">
        <v>38</v>
      </c>
      <c r="B41" s="5">
        <v>46475</v>
      </c>
      <c r="C41" s="5">
        <v>46481</v>
      </c>
      <c r="D41" s="4" t="s">
        <v>872</v>
      </c>
      <c r="E41" s="4" t="s">
        <v>873</v>
      </c>
      <c r="F41" s="4" t="s">
        <v>874</v>
      </c>
      <c r="H41" s="6">
        <v>0.48283378746594036</v>
      </c>
      <c r="I41" s="6" t="str">
        <f>IF(A41=Control!$B$7,Control!$B$11,"")</f>
        <v/>
      </c>
    </row>
    <row r="42" spans="1:9" ht="42.75">
      <c r="A42" s="4">
        <v>39</v>
      </c>
      <c r="B42" s="5">
        <v>46482</v>
      </c>
      <c r="C42" s="5">
        <v>46488</v>
      </c>
      <c r="D42" s="4" t="s">
        <v>875</v>
      </c>
      <c r="E42" s="4" t="s">
        <v>876</v>
      </c>
      <c r="F42" s="4" t="s">
        <v>877</v>
      </c>
      <c r="H42" s="6">
        <v>0.49918256130790223</v>
      </c>
      <c r="I42" s="6" t="str">
        <f>IF(A42=Control!$B$7,Control!$B$11,"")</f>
        <v/>
      </c>
    </row>
    <row r="43" spans="1:9" ht="42.75">
      <c r="A43" s="4">
        <v>40</v>
      </c>
      <c r="B43" s="5">
        <v>46489</v>
      </c>
      <c r="C43" s="5">
        <v>46495</v>
      </c>
      <c r="D43" s="4" t="s">
        <v>878</v>
      </c>
      <c r="E43" s="4" t="s">
        <v>879</v>
      </c>
      <c r="F43" s="4" t="s">
        <v>880</v>
      </c>
      <c r="H43" s="6">
        <v>0.51553133514986416</v>
      </c>
      <c r="I43" s="6" t="str">
        <f>IF(A43=Control!$B$7,Control!$B$11,"")</f>
        <v/>
      </c>
    </row>
    <row r="44" spans="1:9" ht="28.5">
      <c r="A44" s="4">
        <v>41</v>
      </c>
      <c r="B44" s="5">
        <v>46496</v>
      </c>
      <c r="C44" s="5">
        <v>46502</v>
      </c>
      <c r="D44" s="4" t="s">
        <v>881</v>
      </c>
      <c r="E44" s="4" t="s">
        <v>882</v>
      </c>
      <c r="F44" s="4" t="s">
        <v>883</v>
      </c>
      <c r="H44" s="6">
        <v>0.52643051771117211</v>
      </c>
      <c r="I44" s="6" t="str">
        <f>IF(A44=Control!$B$7,Control!$B$11,"")</f>
        <v/>
      </c>
    </row>
    <row r="45" spans="1:9" ht="42.75">
      <c r="A45" s="4">
        <v>42</v>
      </c>
      <c r="B45" s="5">
        <v>46503</v>
      </c>
      <c r="C45" s="5">
        <v>46509</v>
      </c>
      <c r="D45" s="4" t="s">
        <v>884</v>
      </c>
      <c r="E45" s="4" t="s">
        <v>885</v>
      </c>
      <c r="F45" s="4" t="s">
        <v>886</v>
      </c>
      <c r="H45" s="6">
        <v>0.54277929155313398</v>
      </c>
      <c r="I45" s="6" t="str">
        <f>IF(A45=Control!$B$7,Control!$B$11,"")</f>
        <v/>
      </c>
    </row>
    <row r="46" spans="1:9" ht="42.75">
      <c r="A46" s="4">
        <v>43</v>
      </c>
      <c r="B46" s="5">
        <v>46510</v>
      </c>
      <c r="C46" s="5">
        <v>46516</v>
      </c>
      <c r="D46" s="4" t="s">
        <v>887</v>
      </c>
      <c r="E46" s="4" t="s">
        <v>888</v>
      </c>
      <c r="F46" s="4" t="s">
        <v>889</v>
      </c>
      <c r="H46" s="6">
        <v>0.55912806539509574</v>
      </c>
      <c r="I46" s="6" t="str">
        <f>IF(A46=Control!$B$7,Control!$B$11,"")</f>
        <v/>
      </c>
    </row>
    <row r="47" spans="1:9" ht="57">
      <c r="A47" s="4">
        <v>44</v>
      </c>
      <c r="B47" s="5">
        <v>46517</v>
      </c>
      <c r="C47" s="5">
        <v>46523</v>
      </c>
      <c r="D47" s="4" t="s">
        <v>890</v>
      </c>
      <c r="E47" s="4" t="s">
        <v>891</v>
      </c>
      <c r="F47" s="4" t="s">
        <v>892</v>
      </c>
      <c r="H47" s="6">
        <v>0.57547683923705772</v>
      </c>
      <c r="I47" s="6" t="str">
        <f>IF(A47=Control!$B$7,Control!$B$11,"")</f>
        <v/>
      </c>
    </row>
    <row r="48" spans="1:9">
      <c r="A48" s="4">
        <v>45</v>
      </c>
      <c r="B48" s="5">
        <v>46524</v>
      </c>
      <c r="C48" s="5">
        <v>46530</v>
      </c>
      <c r="D48" s="4" t="s">
        <v>416</v>
      </c>
      <c r="E48" s="4" t="s">
        <v>893</v>
      </c>
      <c r="F48" s="4" t="s">
        <v>894</v>
      </c>
      <c r="H48" s="6">
        <v>0.58092643051771164</v>
      </c>
      <c r="I48" s="6" t="str">
        <f>IF(A48=Control!$B$7,Control!$B$11,"")</f>
        <v/>
      </c>
    </row>
    <row r="49" spans="1:9" ht="28.5">
      <c r="A49" s="4">
        <v>46</v>
      </c>
      <c r="B49" s="5">
        <v>46531</v>
      </c>
      <c r="C49" s="5">
        <v>46537</v>
      </c>
      <c r="D49" s="4" t="s">
        <v>895</v>
      </c>
      <c r="E49" s="4" t="s">
        <v>896</v>
      </c>
      <c r="F49" s="4" t="s">
        <v>897</v>
      </c>
      <c r="H49" s="6">
        <v>0.59182561307901949</v>
      </c>
      <c r="I49" s="6" t="str">
        <f>IF(A49=Control!$B$7,Control!$B$11,"")</f>
        <v/>
      </c>
    </row>
    <row r="50" spans="1:9" ht="28.5">
      <c r="A50" s="4">
        <v>47</v>
      </c>
      <c r="B50" s="5">
        <v>46538</v>
      </c>
      <c r="C50" s="5">
        <v>46544</v>
      </c>
      <c r="D50" s="4" t="s">
        <v>898</v>
      </c>
      <c r="E50" s="4" t="s">
        <v>899</v>
      </c>
      <c r="F50" s="4" t="s">
        <v>900</v>
      </c>
      <c r="H50" s="6">
        <v>0.60272479564032744</v>
      </c>
      <c r="I50" s="6" t="str">
        <f>IF(A50=Control!$B$7,Control!$B$11,"")</f>
        <v/>
      </c>
    </row>
    <row r="51" spans="1:9">
      <c r="A51" s="4">
        <v>48</v>
      </c>
      <c r="B51" s="5">
        <v>46545</v>
      </c>
      <c r="C51" s="5">
        <v>46551</v>
      </c>
      <c r="D51" s="4" t="s">
        <v>457</v>
      </c>
      <c r="E51" s="4" t="s">
        <v>901</v>
      </c>
      <c r="F51" s="4" t="s">
        <v>902</v>
      </c>
      <c r="H51" s="6">
        <v>0.60817438692098136</v>
      </c>
      <c r="I51" s="6" t="str">
        <f>IF(A51=Control!$B$7,Control!$B$11,"")</f>
        <v/>
      </c>
    </row>
    <row r="52" spans="1:9">
      <c r="A52" s="4">
        <v>49</v>
      </c>
      <c r="B52" s="5">
        <v>46552</v>
      </c>
      <c r="C52" s="5">
        <v>46558</v>
      </c>
      <c r="D52" s="4" t="s">
        <v>464</v>
      </c>
      <c r="E52" s="4" t="s">
        <v>903</v>
      </c>
      <c r="F52" s="4" t="s">
        <v>904</v>
      </c>
      <c r="H52" s="6">
        <v>0.61362397820163528</v>
      </c>
      <c r="I52" s="6" t="str">
        <f>IF(A52=Control!$B$7,Control!$B$11,"")</f>
        <v/>
      </c>
    </row>
    <row r="53" spans="1:9" ht="42.75">
      <c r="A53" s="4">
        <v>50</v>
      </c>
      <c r="B53" s="5">
        <v>46559</v>
      </c>
      <c r="C53" s="5">
        <v>46565</v>
      </c>
      <c r="D53" s="4" t="s">
        <v>905</v>
      </c>
      <c r="E53" s="4" t="s">
        <v>906</v>
      </c>
      <c r="F53" s="4" t="s">
        <v>907</v>
      </c>
      <c r="H53" s="6">
        <v>0.62452316076294312</v>
      </c>
      <c r="I53" s="6" t="str">
        <f>IF(A53=Control!$B$7,Control!$B$11,"")</f>
        <v/>
      </c>
    </row>
    <row r="54" spans="1:9" ht="28.5">
      <c r="A54" s="4">
        <v>51</v>
      </c>
      <c r="B54" s="5">
        <v>46566</v>
      </c>
      <c r="C54" s="5">
        <v>46572</v>
      </c>
      <c r="D54" s="4" t="s">
        <v>908</v>
      </c>
      <c r="E54" s="4" t="s">
        <v>909</v>
      </c>
      <c r="F54" s="4" t="s">
        <v>910</v>
      </c>
      <c r="H54" s="6">
        <v>0.63542234332425096</v>
      </c>
      <c r="I54" s="6" t="str">
        <f>IF(A54=Control!$B$7,Control!$B$11,"")</f>
        <v/>
      </c>
    </row>
    <row r="55" spans="1:9">
      <c r="A55" s="4">
        <v>52</v>
      </c>
      <c r="B55" s="5">
        <v>46573</v>
      </c>
      <c r="C55" s="5">
        <v>46579</v>
      </c>
      <c r="D55" s="4" t="s">
        <v>483</v>
      </c>
      <c r="E55" s="4" t="s">
        <v>911</v>
      </c>
      <c r="F55" s="4" t="s">
        <v>912</v>
      </c>
      <c r="H55" s="6">
        <v>0.64087193460490499</v>
      </c>
      <c r="I55" s="6" t="str">
        <f>IF(A55=Control!$B$7,Control!$B$11,"")</f>
        <v/>
      </c>
    </row>
    <row r="56" spans="1:9" ht="28.5">
      <c r="A56" s="4">
        <v>53</v>
      </c>
      <c r="B56" s="5">
        <v>46580</v>
      </c>
      <c r="C56" s="5">
        <v>46586</v>
      </c>
      <c r="D56" s="4" t="s">
        <v>913</v>
      </c>
      <c r="E56" s="4" t="s">
        <v>914</v>
      </c>
      <c r="F56" s="4" t="s">
        <v>915</v>
      </c>
      <c r="H56" s="6">
        <v>0.65177111716621283</v>
      </c>
      <c r="I56" s="6" t="str">
        <f>IF(A56=Control!$B$7,Control!$B$11,"")</f>
        <v/>
      </c>
    </row>
    <row r="57" spans="1:9" ht="42.75">
      <c r="A57" s="4">
        <v>54</v>
      </c>
      <c r="B57" s="5">
        <v>46587</v>
      </c>
      <c r="C57" s="5">
        <v>46593</v>
      </c>
      <c r="D57" s="4" t="s">
        <v>916</v>
      </c>
      <c r="E57" s="4" t="s">
        <v>917</v>
      </c>
      <c r="F57" s="4" t="s">
        <v>918</v>
      </c>
      <c r="H57" s="6">
        <v>0.6681198910081747</v>
      </c>
      <c r="I57" s="6" t="str">
        <f>IF(A57=Control!$B$7,Control!$B$11,"")</f>
        <v/>
      </c>
    </row>
    <row r="58" spans="1:9" ht="30">
      <c r="A58" s="4">
        <v>55</v>
      </c>
      <c r="B58" s="5">
        <v>46594</v>
      </c>
      <c r="C58" s="5">
        <v>46600</v>
      </c>
      <c r="D58" s="4" t="s">
        <v>516</v>
      </c>
      <c r="E58" s="4" t="s">
        <v>919</v>
      </c>
      <c r="F58" s="4" t="s">
        <v>920</v>
      </c>
      <c r="G58" s="4" t="s">
        <v>921</v>
      </c>
      <c r="H58" s="6">
        <v>0.67574931880109024</v>
      </c>
      <c r="I58" s="6" t="str">
        <f>IF(A58=Control!$B$7,Control!$B$11,"")</f>
        <v/>
      </c>
    </row>
    <row r="59" spans="1:9" ht="30">
      <c r="A59" s="4">
        <v>56</v>
      </c>
      <c r="B59" s="5">
        <v>46601</v>
      </c>
      <c r="C59" s="5">
        <v>46607</v>
      </c>
      <c r="D59" s="4" t="s">
        <v>521</v>
      </c>
      <c r="E59" s="4" t="s">
        <v>922</v>
      </c>
      <c r="F59" s="4" t="s">
        <v>923</v>
      </c>
      <c r="G59" s="4" t="s">
        <v>924</v>
      </c>
      <c r="H59" s="6">
        <v>0.68337874659400577</v>
      </c>
      <c r="I59" s="6" t="str">
        <f>IF(A59=Control!$B$7,Control!$B$11,"")</f>
        <v/>
      </c>
    </row>
    <row r="60" spans="1:9" ht="28.5">
      <c r="A60" s="4">
        <v>57</v>
      </c>
      <c r="B60" s="5">
        <v>46608</v>
      </c>
      <c r="C60" s="5">
        <v>46614</v>
      </c>
      <c r="D60" s="4" t="s">
        <v>925</v>
      </c>
      <c r="E60" s="4" t="s">
        <v>926</v>
      </c>
      <c r="F60" s="4" t="s">
        <v>927</v>
      </c>
      <c r="H60" s="6">
        <v>0.69427792915531361</v>
      </c>
      <c r="I60" s="6" t="str">
        <f>IF(A60=Control!$B$7,Control!$B$11,"")</f>
        <v/>
      </c>
    </row>
    <row r="61" spans="1:9" ht="42.75">
      <c r="A61" s="4">
        <v>58</v>
      </c>
      <c r="B61" s="5">
        <v>46615</v>
      </c>
      <c r="C61" s="5">
        <v>46621</v>
      </c>
      <c r="D61" s="4" t="s">
        <v>928</v>
      </c>
      <c r="E61" s="4" t="s">
        <v>929</v>
      </c>
      <c r="F61" s="4" t="s">
        <v>930</v>
      </c>
      <c r="H61" s="6">
        <v>0.71062670299727548</v>
      </c>
      <c r="I61" s="6" t="str">
        <f>IF(A61=Control!$B$7,Control!$B$11,"")</f>
        <v/>
      </c>
    </row>
    <row r="62" spans="1:9">
      <c r="A62" s="4">
        <v>59</v>
      </c>
      <c r="B62" s="5">
        <v>46622</v>
      </c>
      <c r="C62" s="5">
        <v>46628</v>
      </c>
      <c r="D62" s="4" t="s">
        <v>545</v>
      </c>
      <c r="E62" s="4" t="s">
        <v>931</v>
      </c>
      <c r="F62" s="4" t="s">
        <v>932</v>
      </c>
      <c r="H62" s="6">
        <v>0.7160762942779294</v>
      </c>
      <c r="I62" s="6" t="str">
        <f>IF(A62=Control!$B$7,Control!$B$11,"")</f>
        <v/>
      </c>
    </row>
    <row r="63" spans="1:9" ht="28.5">
      <c r="A63" s="4">
        <v>60</v>
      </c>
      <c r="B63" s="5">
        <v>46629</v>
      </c>
      <c r="C63" s="5">
        <v>46635</v>
      </c>
      <c r="D63" s="4" t="s">
        <v>549</v>
      </c>
      <c r="E63" s="4" t="s">
        <v>933</v>
      </c>
      <c r="F63" s="4" t="s">
        <v>934</v>
      </c>
      <c r="H63" s="6">
        <v>0.72152588555858332</v>
      </c>
      <c r="I63" s="6" t="str">
        <f>IF(A63=Control!$B$7,Control!$B$11,"")</f>
        <v/>
      </c>
    </row>
    <row r="64" spans="1:9">
      <c r="A64" s="4">
        <v>61</v>
      </c>
      <c r="B64" s="5">
        <v>46636</v>
      </c>
      <c r="C64" s="5">
        <v>46642</v>
      </c>
      <c r="D64" s="4" t="s">
        <v>553</v>
      </c>
      <c r="E64" s="4" t="s">
        <v>935</v>
      </c>
      <c r="F64" s="4" t="s">
        <v>936</v>
      </c>
      <c r="H64" s="6">
        <v>0.72697547683923724</v>
      </c>
      <c r="I64" s="6" t="str">
        <f>IF(A64=Control!$B$7,Control!$B$11,"")</f>
        <v/>
      </c>
    </row>
    <row r="65" spans="1:9" ht="28.5">
      <c r="A65" s="4">
        <v>62</v>
      </c>
      <c r="B65" s="5">
        <v>46643</v>
      </c>
      <c r="C65" s="5">
        <v>46649</v>
      </c>
      <c r="D65" s="4" t="s">
        <v>937</v>
      </c>
      <c r="E65" s="4" t="s">
        <v>938</v>
      </c>
      <c r="F65" s="4" t="s">
        <v>939</v>
      </c>
      <c r="H65" s="6">
        <v>0.73787465940054509</v>
      </c>
      <c r="I65" s="6" t="str">
        <f>IF(A65=Control!$B$7,Control!$B$11,"")</f>
        <v/>
      </c>
    </row>
    <row r="66" spans="1:9">
      <c r="A66" s="4">
        <v>63</v>
      </c>
      <c r="B66" s="5">
        <v>46650</v>
      </c>
      <c r="C66" s="5">
        <v>46656</v>
      </c>
      <c r="D66" s="4" t="s">
        <v>567</v>
      </c>
      <c r="E66" s="4" t="s">
        <v>940</v>
      </c>
      <c r="F66" s="4" t="s">
        <v>941</v>
      </c>
      <c r="H66" s="6">
        <v>0.74332425068119901</v>
      </c>
      <c r="I66" s="6" t="str">
        <f>IF(A66=Control!$B$7,Control!$B$11,"")</f>
        <v/>
      </c>
    </row>
    <row r="67" spans="1:9">
      <c r="A67" s="4">
        <v>64</v>
      </c>
      <c r="B67" s="5">
        <v>46657</v>
      </c>
      <c r="C67" s="5">
        <v>46663</v>
      </c>
      <c r="D67" s="4" t="s">
        <v>573</v>
      </c>
      <c r="E67" s="4" t="s">
        <v>942</v>
      </c>
      <c r="F67" s="4" t="s">
        <v>943</v>
      </c>
      <c r="H67" s="6">
        <v>0.74877384196185293</v>
      </c>
      <c r="I67" s="6" t="str">
        <f>IF(A67=Control!$B$7,Control!$B$11,"")</f>
        <v/>
      </c>
    </row>
    <row r="68" spans="1:9" ht="28.5">
      <c r="A68" s="4">
        <v>65</v>
      </c>
      <c r="B68" s="5">
        <v>46664</v>
      </c>
      <c r="C68" s="5">
        <v>46670</v>
      </c>
      <c r="D68" s="4" t="s">
        <v>944</v>
      </c>
      <c r="E68" s="4" t="s">
        <v>945</v>
      </c>
      <c r="F68" s="4" t="s">
        <v>946</v>
      </c>
      <c r="H68" s="6">
        <v>0.75967302452316077</v>
      </c>
      <c r="I68" s="6" t="str">
        <f>IF(A68=Control!$B$7,Control!$B$11,"")</f>
        <v/>
      </c>
    </row>
    <row r="69" spans="1:9">
      <c r="A69" s="4">
        <v>66</v>
      </c>
      <c r="B69" s="5">
        <v>46671</v>
      </c>
      <c r="C69" s="5">
        <v>46677</v>
      </c>
      <c r="D69" s="4" t="s">
        <v>587</v>
      </c>
      <c r="E69" s="4" t="s">
        <v>947</v>
      </c>
      <c r="F69" s="4" t="s">
        <v>948</v>
      </c>
      <c r="H69" s="6">
        <v>0.76512261580381469</v>
      </c>
      <c r="I69" s="6" t="str">
        <f>IF(A69=Control!$B$7,Control!$B$11,"")</f>
        <v/>
      </c>
    </row>
    <row r="70" spans="1:9">
      <c r="A70" s="4">
        <v>67</v>
      </c>
      <c r="B70" s="5">
        <v>46678</v>
      </c>
      <c r="C70" s="5">
        <v>46684</v>
      </c>
      <c r="D70" s="4" t="s">
        <v>591</v>
      </c>
      <c r="E70" s="4" t="s">
        <v>949</v>
      </c>
      <c r="F70" s="4" t="s">
        <v>950</v>
      </c>
      <c r="H70" s="6">
        <v>0.77057220708446861</v>
      </c>
      <c r="I70" s="6" t="str">
        <f>IF(A70=Control!$B$7,Control!$B$11,"")</f>
        <v/>
      </c>
    </row>
    <row r="71" spans="1:9" ht="28.5">
      <c r="A71" s="4">
        <v>68</v>
      </c>
      <c r="B71" s="5">
        <v>46685</v>
      </c>
      <c r="C71" s="5">
        <v>46691</v>
      </c>
      <c r="D71" s="4" t="s">
        <v>951</v>
      </c>
      <c r="E71" s="4" t="s">
        <v>952</v>
      </c>
      <c r="F71" s="4" t="s">
        <v>953</v>
      </c>
      <c r="H71" s="6">
        <v>0.78147138964577645</v>
      </c>
      <c r="I71" s="6" t="str">
        <f>IF(A71=Control!$B$7,Control!$B$11,"")</f>
        <v/>
      </c>
    </row>
    <row r="72" spans="1:9" ht="28.5">
      <c r="A72" s="4">
        <v>69</v>
      </c>
      <c r="B72" s="5">
        <v>46692</v>
      </c>
      <c r="C72" s="5">
        <v>46698</v>
      </c>
      <c r="D72" s="4" t="s">
        <v>954</v>
      </c>
      <c r="E72" s="4" t="s">
        <v>955</v>
      </c>
      <c r="F72" s="4" t="s">
        <v>956</v>
      </c>
      <c r="H72" s="6">
        <v>0.79237057220708429</v>
      </c>
      <c r="I72" s="6" t="str">
        <f>IF(A72=Control!$B$7,Control!$B$11,"")</f>
        <v/>
      </c>
    </row>
    <row r="73" spans="1:9" ht="30">
      <c r="A73" s="4">
        <v>70</v>
      </c>
      <c r="B73" s="5">
        <v>46699</v>
      </c>
      <c r="C73" s="5">
        <v>46705</v>
      </c>
      <c r="D73" s="4" t="s">
        <v>616</v>
      </c>
      <c r="E73" s="4" t="s">
        <v>957</v>
      </c>
      <c r="F73" s="4" t="s">
        <v>958</v>
      </c>
      <c r="G73" s="4" t="s">
        <v>959</v>
      </c>
      <c r="H73" s="6">
        <v>0.80054495912806523</v>
      </c>
      <c r="I73" s="6" t="str">
        <f>IF(A73=Control!$B$7,Control!$B$11,"")</f>
        <v/>
      </c>
    </row>
    <row r="74" spans="1:9" ht="28.5">
      <c r="A74" s="4">
        <v>71</v>
      </c>
      <c r="B74" s="5">
        <v>46706</v>
      </c>
      <c r="C74" s="5">
        <v>46712</v>
      </c>
      <c r="D74" s="4" t="s">
        <v>621</v>
      </c>
      <c r="E74" s="4" t="s">
        <v>960</v>
      </c>
      <c r="F74" s="4" t="s">
        <v>961</v>
      </c>
      <c r="H74" s="6">
        <v>0.80599455040871915</v>
      </c>
      <c r="I74" s="6" t="str">
        <f>IF(A74=Control!$B$7,Control!$B$11,"")</f>
        <v/>
      </c>
    </row>
    <row r="75" spans="1:9">
      <c r="A75" s="4">
        <v>72</v>
      </c>
      <c r="B75" s="5">
        <v>46713</v>
      </c>
      <c r="C75" s="5">
        <v>46719</v>
      </c>
      <c r="D75" s="4" t="s">
        <v>627</v>
      </c>
      <c r="E75" s="4" t="s">
        <v>962</v>
      </c>
      <c r="F75" s="4" t="s">
        <v>963</v>
      </c>
      <c r="H75" s="6">
        <v>0.81144414168937307</v>
      </c>
      <c r="I75" s="6" t="str">
        <f>IF(A75=Control!$B$7,Control!$B$11,"")</f>
        <v/>
      </c>
    </row>
    <row r="76" spans="1:9" ht="42.75">
      <c r="A76" s="4">
        <v>73</v>
      </c>
      <c r="B76" s="5">
        <v>46720</v>
      </c>
      <c r="C76" s="5">
        <v>46726</v>
      </c>
      <c r="D76" s="4" t="s">
        <v>964</v>
      </c>
      <c r="E76" s="4" t="s">
        <v>965</v>
      </c>
      <c r="F76" s="4" t="s">
        <v>966</v>
      </c>
      <c r="H76" s="6">
        <v>0.82234332425068091</v>
      </c>
      <c r="I76" s="6" t="str">
        <f>IF(A76=Control!$B$7,Control!$B$11,"")</f>
        <v/>
      </c>
    </row>
    <row r="77" spans="1:9" ht="28.5">
      <c r="A77" s="4">
        <v>74</v>
      </c>
      <c r="B77" s="5">
        <v>46727</v>
      </c>
      <c r="C77" s="5">
        <v>46733</v>
      </c>
      <c r="D77" s="4" t="s">
        <v>967</v>
      </c>
      <c r="E77" s="4" t="s">
        <v>968</v>
      </c>
      <c r="F77" s="4" t="s">
        <v>969</v>
      </c>
      <c r="H77" s="6">
        <v>0.83324250681198875</v>
      </c>
      <c r="I77" s="6" t="str">
        <f>IF(A77=Control!$B$7,Control!$B$11,"")</f>
        <v/>
      </c>
    </row>
    <row r="78" spans="1:9" ht="42.75">
      <c r="A78" s="4">
        <v>75</v>
      </c>
      <c r="B78" s="5">
        <v>46734</v>
      </c>
      <c r="C78" s="5">
        <v>46740</v>
      </c>
      <c r="D78" s="4" t="s">
        <v>970</v>
      </c>
      <c r="E78" s="4" t="s">
        <v>971</v>
      </c>
      <c r="F78" s="4" t="s">
        <v>972</v>
      </c>
      <c r="H78" s="6">
        <v>0.84414168937329659</v>
      </c>
      <c r="I78" s="6" t="str">
        <f>IF(A78=Control!$B$7,Control!$B$11,"")</f>
        <v/>
      </c>
    </row>
    <row r="79" spans="1:9">
      <c r="A79" s="4">
        <v>76</v>
      </c>
      <c r="B79" s="5">
        <v>46741</v>
      </c>
      <c r="C79" s="5">
        <v>46747</v>
      </c>
      <c r="D79" s="4" t="s">
        <v>660</v>
      </c>
      <c r="E79" s="4" t="s">
        <v>973</v>
      </c>
      <c r="F79" s="4" t="s">
        <v>974</v>
      </c>
      <c r="H79" s="6">
        <v>0.84959128065395051</v>
      </c>
      <c r="I79" s="6" t="str">
        <f>IF(A79=Control!$B$7,Control!$B$11,"")</f>
        <v/>
      </c>
    </row>
    <row r="80" spans="1:9">
      <c r="A80" s="4">
        <v>77</v>
      </c>
      <c r="B80" s="5">
        <v>46748</v>
      </c>
      <c r="C80" s="5">
        <v>46754</v>
      </c>
      <c r="D80" s="4" t="s">
        <v>666</v>
      </c>
      <c r="E80" s="4" t="s">
        <v>975</v>
      </c>
      <c r="F80" s="4" t="s">
        <v>976</v>
      </c>
      <c r="H80" s="6">
        <v>0.85504087193460443</v>
      </c>
      <c r="I80" s="6" t="str">
        <f>IF(A80=Control!$B$7,Control!$B$11,"")</f>
        <v/>
      </c>
    </row>
    <row r="81" spans="1:9" ht="60">
      <c r="A81" s="4">
        <v>78</v>
      </c>
      <c r="B81" s="5">
        <v>46755</v>
      </c>
      <c r="C81" s="5">
        <v>46761</v>
      </c>
      <c r="D81" s="4" t="s">
        <v>977</v>
      </c>
      <c r="E81" s="4" t="s">
        <v>978</v>
      </c>
      <c r="F81" s="4" t="s">
        <v>979</v>
      </c>
      <c r="G81" s="4" t="s">
        <v>980</v>
      </c>
      <c r="H81" s="6">
        <v>0.8713896457765663</v>
      </c>
      <c r="I81" s="6" t="str">
        <f>IF(A81=Control!$B$7,Control!$B$11,"")</f>
        <v/>
      </c>
    </row>
    <row r="82" spans="1:9" ht="57">
      <c r="A82" s="4">
        <v>79</v>
      </c>
      <c r="B82" s="5">
        <v>46762</v>
      </c>
      <c r="C82" s="5">
        <v>46768</v>
      </c>
      <c r="D82" s="4" t="s">
        <v>981</v>
      </c>
      <c r="E82" s="4" t="s">
        <v>982</v>
      </c>
      <c r="F82" s="4" t="s">
        <v>983</v>
      </c>
      <c r="H82" s="6">
        <v>0.88773841961852806</v>
      </c>
      <c r="I82" s="6" t="str">
        <f>IF(A82=Control!$B$7,Control!$B$11,"")</f>
        <v/>
      </c>
    </row>
    <row r="83" spans="1:9" ht="42.75">
      <c r="A83" s="4">
        <v>80</v>
      </c>
      <c r="B83" s="5">
        <v>46769</v>
      </c>
      <c r="C83" s="5">
        <v>46775</v>
      </c>
      <c r="D83" s="4" t="s">
        <v>984</v>
      </c>
      <c r="E83" s="4" t="s">
        <v>985</v>
      </c>
      <c r="F83" s="4" t="s">
        <v>986</v>
      </c>
      <c r="H83" s="6">
        <v>0.90408719346048982</v>
      </c>
      <c r="I83" s="6" t="str">
        <f>IF(A83=Control!$B$7,Control!$B$11,"")</f>
        <v/>
      </c>
    </row>
    <row r="84" spans="1:9" ht="28.5">
      <c r="A84" s="4">
        <v>81</v>
      </c>
      <c r="B84" s="5">
        <v>46776</v>
      </c>
      <c r="C84" s="5">
        <v>46782</v>
      </c>
      <c r="D84" s="4" t="s">
        <v>987</v>
      </c>
      <c r="E84" s="4" t="s">
        <v>988</v>
      </c>
      <c r="F84" s="4" t="s">
        <v>989</v>
      </c>
      <c r="H84" s="6">
        <v>0.91498637602179789</v>
      </c>
      <c r="I84" s="6" t="str">
        <f>IF(A84=Control!$B$7,Control!$B$11,"")</f>
        <v/>
      </c>
    </row>
    <row r="85" spans="1:9" ht="28.5">
      <c r="A85" s="4">
        <v>82</v>
      </c>
      <c r="B85" s="5">
        <v>46783</v>
      </c>
      <c r="C85" s="5">
        <v>46789</v>
      </c>
      <c r="D85" s="4" t="s">
        <v>990</v>
      </c>
      <c r="E85" s="4" t="s">
        <v>991</v>
      </c>
      <c r="H85" s="6">
        <v>0.92425068119890952</v>
      </c>
      <c r="I85" s="6" t="str">
        <f>IF(A85=Control!$B$7,Control!$B$11,"")</f>
        <v/>
      </c>
    </row>
    <row r="86" spans="1:9" ht="28.5">
      <c r="A86" s="4">
        <v>83</v>
      </c>
      <c r="B86" s="5">
        <v>46790</v>
      </c>
      <c r="C86" s="5">
        <v>46796</v>
      </c>
      <c r="D86" s="4" t="s">
        <v>990</v>
      </c>
      <c r="E86" s="4" t="s">
        <v>991</v>
      </c>
      <c r="H86" s="6">
        <v>0.93351498637602137</v>
      </c>
      <c r="I86" s="6" t="str">
        <f>IF(A86=Control!$B$7,Control!$B$11,"")</f>
        <v/>
      </c>
    </row>
    <row r="87" spans="1:9" ht="28.5">
      <c r="A87" s="4">
        <v>84</v>
      </c>
      <c r="B87" s="5">
        <v>46797</v>
      </c>
      <c r="C87" s="5">
        <v>46803</v>
      </c>
      <c r="D87" s="4" t="s">
        <v>990</v>
      </c>
      <c r="E87" s="4" t="s">
        <v>991</v>
      </c>
      <c r="F87" s="4" t="s">
        <v>992</v>
      </c>
      <c r="H87" s="6">
        <v>0.942779291553133</v>
      </c>
      <c r="I87" s="6" t="str">
        <f>IF(A87=Control!$B$7,Control!$B$11,"")</f>
        <v/>
      </c>
    </row>
    <row r="88" spans="1:9" ht="28.5">
      <c r="A88" s="4">
        <v>85</v>
      </c>
      <c r="B88" s="5">
        <v>46804</v>
      </c>
      <c r="C88" s="5">
        <v>46810</v>
      </c>
      <c r="D88" s="4" t="s">
        <v>993</v>
      </c>
      <c r="E88" s="4" t="s">
        <v>994</v>
      </c>
      <c r="F88" s="4" t="s">
        <v>995</v>
      </c>
      <c r="H88" s="6">
        <v>0.95204359673024475</v>
      </c>
      <c r="I88" s="6" t="str">
        <f>IF(A88=Control!$B$7,Control!$B$11,"")</f>
        <v/>
      </c>
    </row>
    <row r="89" spans="1:9" ht="42.75">
      <c r="A89" s="4">
        <v>86</v>
      </c>
      <c r="B89" s="5">
        <v>46811</v>
      </c>
      <c r="C89" s="5">
        <v>46817</v>
      </c>
      <c r="D89" s="4" t="s">
        <v>996</v>
      </c>
      <c r="E89" s="4" t="s">
        <v>997</v>
      </c>
      <c r="F89" s="4" t="s">
        <v>998</v>
      </c>
      <c r="H89" s="6">
        <v>0.96130790190735638</v>
      </c>
      <c r="I89" s="6" t="str">
        <f>IF(A89=Control!$B$7,Control!$B$11,"")</f>
        <v/>
      </c>
    </row>
    <row r="90" spans="1:9" ht="28.5">
      <c r="A90" s="4">
        <v>87</v>
      </c>
      <c r="B90" s="5">
        <v>46818</v>
      </c>
      <c r="C90" s="5">
        <v>46824</v>
      </c>
      <c r="D90" s="4" t="s">
        <v>999</v>
      </c>
      <c r="E90" s="4" t="s">
        <v>1000</v>
      </c>
      <c r="F90" s="4" t="s">
        <v>1001</v>
      </c>
      <c r="H90" s="6">
        <v>0.97057220708446812</v>
      </c>
      <c r="I90" s="6" t="str">
        <f>IF(A90=Control!$B$7,Control!$B$11,"")</f>
        <v/>
      </c>
    </row>
    <row r="91" spans="1:9" ht="28.5">
      <c r="A91" s="4">
        <v>88</v>
      </c>
      <c r="B91" s="5">
        <v>46825</v>
      </c>
      <c r="C91" s="5">
        <v>46831</v>
      </c>
      <c r="D91" s="4" t="s">
        <v>1002</v>
      </c>
      <c r="E91" s="4" t="s">
        <v>1003</v>
      </c>
      <c r="F91" s="4" t="s">
        <v>1004</v>
      </c>
      <c r="H91" s="6">
        <v>0.97983651226157975</v>
      </c>
      <c r="I91" s="6" t="str">
        <f>IF(A91=Control!$B$7,Control!$B$11,"")</f>
        <v/>
      </c>
    </row>
    <row r="92" spans="1:9" ht="28.5">
      <c r="A92" s="4">
        <v>89</v>
      </c>
      <c r="B92" s="5">
        <v>46832</v>
      </c>
      <c r="C92" s="5">
        <v>46838</v>
      </c>
      <c r="D92" s="4" t="s">
        <v>1005</v>
      </c>
      <c r="E92" s="4" t="s">
        <v>1006</v>
      </c>
      <c r="F92" s="4" t="s">
        <v>1007</v>
      </c>
      <c r="H92" s="6">
        <v>0.98910081743869149</v>
      </c>
      <c r="I92" s="6" t="str">
        <f>IF(A92=Control!$B$7,Control!$B$11,"")</f>
        <v/>
      </c>
    </row>
    <row r="93" spans="1:9" ht="30">
      <c r="A93" s="4">
        <v>90</v>
      </c>
      <c r="B93" s="5">
        <v>46839</v>
      </c>
      <c r="C93" s="5">
        <v>46845</v>
      </c>
      <c r="D93" s="4" t="s">
        <v>1008</v>
      </c>
      <c r="E93" s="4" t="s">
        <v>1009</v>
      </c>
      <c r="F93" s="4" t="s">
        <v>1010</v>
      </c>
      <c r="G93" s="4" t="s">
        <v>1011</v>
      </c>
      <c r="H93" s="6">
        <v>0.99999999999999933</v>
      </c>
      <c r="I93" s="6" t="str">
        <f>IF(A93=Control!$B$7,Control!$B$11,"")</f>
        <v/>
      </c>
    </row>
  </sheetData>
  <mergeCells count="1">
    <mergeCell ref="A1:I1"/>
  </mergeCells>
  <conditionalFormatting sqref="G4:G93">
    <cfRule type="expression" dxfId="0" priority="1">
      <formula>G4&lt;&gt;""</formula>
    </cfRule>
  </conditionalFormatting>
  <conditionalFormatting sqref="H4:H93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{B8FC9896-30FC-17BC-0C47-2802A0784AF9}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FC9896-30FC-17BC-0C47-2802A0784AF9}">
            <x14:dataBar>
              <x14:cfvo type="min"/>
              <x14:cfvo type="max"/>
              <x14:negativeFillColor auto="1"/>
              <x14:axisColor auto="1"/>
            </x14:dataBar>
          </x14:cfRule>
          <xm:sqref>H4:H93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sqref="A1:H1"/>
    </sheetView>
  </sheetViews>
  <sheetFormatPr defaultRowHeight="14.25"/>
  <cols>
    <col min="1" max="1" width="24" customWidth="1"/>
    <col min="2" max="2" width="70" customWidth="1"/>
    <col min="3" max="4" width="24" customWidth="1"/>
  </cols>
  <sheetData>
    <row r="1" spans="1:8" ht="19.5">
      <c r="A1" s="26" t="s">
        <v>1012</v>
      </c>
      <c r="B1" s="26"/>
      <c r="C1" s="26"/>
      <c r="D1" s="26"/>
      <c r="E1" s="26"/>
      <c r="F1" s="26"/>
      <c r="G1" s="26"/>
      <c r="H1" s="26"/>
    </row>
    <row r="3" spans="1:8" ht="15">
      <c r="A3" s="8" t="s">
        <v>1013</v>
      </c>
      <c r="B3" s="8" t="s">
        <v>1014</v>
      </c>
    </row>
    <row r="4" spans="1:8">
      <c r="A4" s="4" t="s">
        <v>1015</v>
      </c>
      <c r="B4" s="4" t="s">
        <v>1016</v>
      </c>
    </row>
    <row r="5" spans="1:8" ht="28.5">
      <c r="A5" s="4" t="s">
        <v>1017</v>
      </c>
      <c r="B5" s="4" t="s">
        <v>1018</v>
      </c>
    </row>
    <row r="6" spans="1:8">
      <c r="A6" s="4" t="s">
        <v>1019</v>
      </c>
      <c r="B6" s="4" t="s">
        <v>1020</v>
      </c>
    </row>
    <row r="7" spans="1:8" ht="28.5">
      <c r="A7" s="4" t="s">
        <v>1021</v>
      </c>
      <c r="B7" s="4" t="s">
        <v>1022</v>
      </c>
    </row>
    <row r="8" spans="1:8">
      <c r="A8" s="4" t="s">
        <v>1023</v>
      </c>
      <c r="B8" s="4" t="s">
        <v>1024</v>
      </c>
    </row>
    <row r="9" spans="1:8">
      <c r="A9" s="4" t="s">
        <v>1025</v>
      </c>
      <c r="B9" s="4" t="s">
        <v>1026</v>
      </c>
    </row>
    <row r="10" spans="1:8">
      <c r="A10" s="4" t="s">
        <v>1027</v>
      </c>
      <c r="B10" s="4" t="s">
        <v>1028</v>
      </c>
    </row>
    <row r="12" spans="1:8" ht="15">
      <c r="A12" s="22" t="s">
        <v>1029</v>
      </c>
      <c r="B12" s="22"/>
      <c r="C12" s="22"/>
      <c r="D12" s="22"/>
      <c r="E12" s="22"/>
      <c r="F12" s="22"/>
      <c r="G12" s="22"/>
      <c r="H12" s="22"/>
    </row>
    <row r="13" spans="1:8" ht="15">
      <c r="A13" s="8" t="s">
        <v>20</v>
      </c>
      <c r="B13" s="8" t="s">
        <v>752</v>
      </c>
      <c r="C13" s="8" t="s">
        <v>1030</v>
      </c>
      <c r="D13" s="8" t="s">
        <v>1031</v>
      </c>
    </row>
    <row r="14" spans="1:8" ht="28.5">
      <c r="A14" s="4" t="s">
        <v>23</v>
      </c>
      <c r="B14" s="4">
        <v>6</v>
      </c>
      <c r="C14" s="4" t="s">
        <v>1032</v>
      </c>
      <c r="D14" s="4" t="s">
        <v>150</v>
      </c>
    </row>
    <row r="15" spans="1:8" ht="28.5">
      <c r="A15" s="4" t="s">
        <v>26</v>
      </c>
      <c r="B15" s="4">
        <v>12</v>
      </c>
      <c r="C15" s="4" t="s">
        <v>1033</v>
      </c>
      <c r="D15" s="4" t="s">
        <v>207</v>
      </c>
    </row>
    <row r="16" spans="1:8" ht="28.5">
      <c r="A16" s="4" t="s">
        <v>29</v>
      </c>
      <c r="B16" s="4">
        <v>34</v>
      </c>
      <c r="C16" s="4" t="s">
        <v>1034</v>
      </c>
      <c r="D16" s="4" t="s">
        <v>360</v>
      </c>
    </row>
    <row r="17" spans="1:8" ht="28.5">
      <c r="A17" s="4" t="s">
        <v>32</v>
      </c>
      <c r="B17" s="4">
        <v>56</v>
      </c>
      <c r="C17" s="4" t="s">
        <v>1035</v>
      </c>
      <c r="D17" s="4" t="s">
        <v>521</v>
      </c>
    </row>
    <row r="18" spans="1:8">
      <c r="A18" s="4" t="s">
        <v>35</v>
      </c>
      <c r="B18" s="4">
        <v>70</v>
      </c>
      <c r="C18" s="4" t="s">
        <v>1036</v>
      </c>
      <c r="D18" s="4" t="s">
        <v>616</v>
      </c>
    </row>
    <row r="19" spans="1:8" ht="28.5">
      <c r="A19" s="4" t="s">
        <v>38</v>
      </c>
      <c r="B19" s="4">
        <v>78</v>
      </c>
      <c r="C19" s="4" t="s">
        <v>1037</v>
      </c>
      <c r="D19" s="4" t="s">
        <v>1038</v>
      </c>
    </row>
    <row r="20" spans="1:8" ht="28.5">
      <c r="A20" s="4" t="s">
        <v>41</v>
      </c>
      <c r="B20" s="4">
        <v>90</v>
      </c>
      <c r="C20" s="4" t="s">
        <v>1039</v>
      </c>
      <c r="D20" s="4" t="s">
        <v>743</v>
      </c>
    </row>
    <row r="22" spans="1:8" ht="15">
      <c r="A22" s="22" t="s">
        <v>1040</v>
      </c>
      <c r="B22" s="22"/>
      <c r="C22" s="22"/>
      <c r="D22" s="22"/>
      <c r="E22" s="22"/>
      <c r="F22" s="22"/>
      <c r="G22" s="22"/>
      <c r="H22" s="22"/>
    </row>
    <row r="23" spans="1:8">
      <c r="A23" s="4">
        <v>1</v>
      </c>
      <c r="B23" s="4" t="s">
        <v>1041</v>
      </c>
    </row>
    <row r="24" spans="1:8">
      <c r="A24" s="4">
        <v>2</v>
      </c>
      <c r="B24" s="4" t="s">
        <v>1042</v>
      </c>
    </row>
    <row r="25" spans="1:8">
      <c r="A25" s="4">
        <v>3</v>
      </c>
      <c r="B25" s="4" t="s">
        <v>1043</v>
      </c>
    </row>
    <row r="26" spans="1:8">
      <c r="A26" s="4">
        <v>4</v>
      </c>
      <c r="B26" s="4" t="s">
        <v>1044</v>
      </c>
    </row>
    <row r="27" spans="1:8">
      <c r="A27" s="4">
        <v>5</v>
      </c>
      <c r="B27" s="4" t="s">
        <v>1045</v>
      </c>
    </row>
    <row r="28" spans="1:8">
      <c r="A28" s="4">
        <v>6</v>
      </c>
      <c r="B28" s="4" t="s">
        <v>1046</v>
      </c>
    </row>
  </sheetData>
  <mergeCells count="3">
    <mergeCell ref="A1:H1"/>
    <mergeCell ref="A12:H12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Control</vt:lpstr>
      <vt:lpstr>WBS</vt:lpstr>
      <vt:lpstr>Phase Summary</vt:lpstr>
      <vt:lpstr>Weekly Plan</vt:lpstr>
      <vt:lpstr>Source &amp;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Parthasarathy Periyasamy</cp:lastModifiedBy>
  <dcterms:modified xsi:type="dcterms:W3CDTF">2026-07-17T08:27:42Z</dcterms:modified>
</cp:coreProperties>
</file>